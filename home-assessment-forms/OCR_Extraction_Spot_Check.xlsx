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pot Check" sheetId="2" state="visible" r:id="rId4"/>
    <sheet name="Summary by Field" sheetId="3" state="visible" r:id="rId5"/>
  </sheets>
  <definedNames>
    <definedName function="false" hidden="true" localSheetId="1" name="_xlnm._FilterDatabase" vbProcedure="false">'Spot Check'!$A$1:$J$755</definedName>
    <definedName function="false" hidden="true" localSheetId="2" name="_xlnm._FilterDatabase" vbProcedure="false">'Summary by Field'!$A$3:$G$41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<sst xmlns="http://schemas.openxmlformats.org/spreadsheetml/2006/main" count="4309" uniqueCount="526">
  <si>
    <t xml:space="preserve">OCR vs Gemini Spot Check — Home Assessment Extraction</t>
  </si>
  <si>
    <t xml:space="preserve">Purpose</t>
  </si>
  <si>
    <t xml:space="preserve">Manually verify a sample of fields where Cloud Vision and Gemini disagreed, to (1) confirm Gemini should be the trusted primary extractor and (2) find which columns need mandatory manual review at production scale.</t>
  </si>
  <si>
    <t xml:space="preserve">Sample</t>
  </si>
  <si>
    <t xml:space="preserve">30 files total: 20 with the most Cloud Vision/Gemini disagreements ("Bad OCR") + 10 random files, pulled from the 60-file pilot batch. This mixes worst-case failure patterns with a realistic baseline.</t>
  </si>
  <si>
    <t xml:space="preserve">How to fill in the 'Spot Check' tab</t>
  </si>
  <si>
    <t xml:space="preserve">1. Open the source PDF for each Source File (pilot_scans_1/2/3 folders).</t>
  </si>
  <si>
    <t xml:space="preserve">2. Read the field directly from the scan and type the true value into the yellow 'Correct Value' column.</t>
  </si>
  <si>
    <t xml:space="preserve">3. Leave 'Correct Value' blank only if the field is genuinely illegible on the scan.</t>
  </si>
  <si>
    <t xml:space="preserve">4. 'Gemini Match?' and 'Cloud Vision Match?' fill in automatically once you type the Correct Value.</t>
  </si>
  <si>
    <t xml:space="preserve">How to read the 'Summary by Field' tab</t>
  </si>
  <si>
    <t xml:space="preserve">Match rate = % of spot-checked rows where that source's value equals your Correct Value. Any field below the review threshold (cell B2, default 90%) is flagged for mandatory manual review in production.</t>
  </si>
  <si>
    <t xml:space="preserve">Notes</t>
  </si>
  <si>
    <t xml:space="preserve">- Field list, section groupings, and both models' values come from the pilot_3 run (60 forms, 1117 total flagged disagreements; this sample covers 754 of them).</t>
  </si>
  <si>
    <t xml:space="preserve">- A row here only exists where Cloud Vision and Gemini disagreed — fields where both models already agreed are not in this sample and are assumed correct for this exercise.</t>
  </si>
  <si>
    <t xml:space="preserve">Sample Group</t>
  </si>
  <si>
    <t xml:space="preserve">Source File</t>
  </si>
  <si>
    <t xml:space="preserve">Section</t>
  </si>
  <si>
    <t xml:space="preserve">Field</t>
  </si>
  <si>
    <t xml:space="preserve">Cloud Vision Value</t>
  </si>
  <si>
    <t xml:space="preserve">Gemini Value</t>
  </si>
  <si>
    <t xml:space="preserve">Correct Value (fill in)</t>
  </si>
  <si>
    <t xml:space="preserve">Gemini Match?</t>
  </si>
  <si>
    <t xml:space="preserve">Cloud Vision Match?</t>
  </si>
  <si>
    <t xml:space="preserve">Reviewer Notes</t>
  </si>
  <si>
    <t xml:space="preserve">Bad OCR</t>
  </si>
  <si>
    <t xml:space="preserve">Sedakhoreni_Sinanyan_-_In_Home_Assessment_10-22-25.pdf</t>
  </si>
  <si>
    <t xml:space="preserve">Behavioral Observations</t>
  </si>
  <si>
    <t xml:space="preserve">Agitation/Aggression: Does the patient get angry or hostile</t>
  </si>
  <si>
    <t xml:space="preserve">Yes</t>
  </si>
  <si>
    <t xml:space="preserve">Anxiety/Shadowing: Does the patient routinely follow around their caregiver</t>
  </si>
  <si>
    <t xml:space="preserve">No</t>
  </si>
  <si>
    <t xml:space="preserve">Hallucinations: Does the patient see and/or hear things that no one else can see or hear</t>
  </si>
  <si>
    <t xml:space="preserve">Indifference/Social Withdrawal: Does the patient seem less interested in their usual activities</t>
  </si>
  <si>
    <t xml:space="preserve">Irritability/Moodiness: Does the patient act impatient</t>
  </si>
  <si>
    <t xml:space="preserve">Other Behavioral Observations</t>
  </si>
  <si>
    <t xml:space="preserve">quiet &amp; likes to just sit</t>
  </si>
  <si>
    <t xml:space="preserve">Sleep Problems: Does the patient have trouble sleeping at night</t>
  </si>
  <si>
    <t xml:space="preserve">Suspiciousness/Paranoia: Is the patient suspicious without good reason</t>
  </si>
  <si>
    <t xml:space="preserve">Daily Function (rating scale)</t>
  </si>
  <si>
    <t xml:space="preserve">Bathing</t>
  </si>
  <si>
    <t xml:space="preserve">requires_assistance</t>
  </si>
  <si>
    <t xml:space="preserve">Continence (control of bladder and bowels)</t>
  </si>
  <si>
    <t xml:space="preserve">completely_independent</t>
  </si>
  <si>
    <t xml:space="preserve">Dressing (including getting clothes from drawers or closet)</t>
  </si>
  <si>
    <t xml:space="preserve">Driving or using public transportation</t>
  </si>
  <si>
    <t xml:space="preserve">cannot_do_at_all</t>
  </si>
  <si>
    <t xml:space="preserve">Feeding</t>
  </si>
  <si>
    <t xml:space="preserve">Finances</t>
  </si>
  <si>
    <t xml:space="preserve">Food Preparation</t>
  </si>
  <si>
    <t xml:space="preserve">Grooming (including teeth, hair, shaving, etc.)</t>
  </si>
  <si>
    <t xml:space="preserve">Housekeeping</t>
  </si>
  <si>
    <t xml:space="preserve">Laundry</t>
  </si>
  <si>
    <t xml:space="preserve">Medication Management</t>
  </si>
  <si>
    <t xml:space="preserve">Shopping</t>
  </si>
  <si>
    <t xml:space="preserve">requires_cueing_or_coaching</t>
  </si>
  <si>
    <t xml:space="preserve">Toileting (including cleaning, redressing, washing hands)</t>
  </si>
  <si>
    <t xml:space="preserve">Transferring in and out of a chair or bed</t>
  </si>
  <si>
    <t xml:space="preserve">Use the Telephone</t>
  </si>
  <si>
    <t xml:space="preserve">Environmental / Social</t>
  </si>
  <si>
    <t xml:space="preserve">Has the patient fallen in the last year</t>
  </si>
  <si>
    <t xml:space="preserve">Is the patient at risk for food insecurity or poor nutrition</t>
  </si>
  <si>
    <t xml:space="preserve">Is the patient at risk for housing insecurity</t>
  </si>
  <si>
    <t xml:space="preserve">Other Environmental/Social Observations</t>
  </si>
  <si>
    <t xml:space="preserve">She is very quiet.</t>
  </si>
  <si>
    <t xml:space="preserve">Is the patient socially isolated outside of their normal behaviors</t>
  </si>
  <si>
    <t xml:space="preserve">Has the patient been targeted for exploitation or scamming</t>
  </si>
  <si>
    <t xml:space="preserve">Final Observations</t>
  </si>
  <si>
    <t xml:space="preserve">Any other observations or concerns</t>
  </si>
  <si>
    <t xml:space="preserve">She doesnt wke to to do anything. She just likes to sit but family makes sure that she still does sonne choves.</t>
  </si>
  <si>
    <t xml:space="preserve">Header / Identifying Info</t>
  </si>
  <si>
    <t xml:space="preserve">Address:</t>
  </si>
  <si>
    <t xml:space="preserve">704 E Chevy Chase Dr, Glendale-91205</t>
  </si>
  <si>
    <t xml:space="preserve">Answers provided by:</t>
  </si>
  <si>
    <t xml:space="preserve">Sister</t>
  </si>
  <si>
    <t xml:space="preserve">Date of Birth:</t>
  </si>
  <si>
    <t xml:space="preserve">7/1/1958</t>
  </si>
  <si>
    <t xml:space="preserve">In-Home Assessment Date:</t>
  </si>
  <si>
    <t xml:space="preserve">/ N ) 14 Are walkways clear of tripping hazards , rugs , cords , and excessive clutter ? ( Y / N ) 15 Is the lighting in the home fairly bright or dim side ? 16 If stairs are accessible , are they free of bright lighting ? ( Y / N ) 17 Is the bathroom equipped with mobility as grab bars , shower chair , toilet riser ? ( Y / 18 Does the patient have access to the kitchen - If kitchen access , which appliance ( s ) is able to use independently ? ( e.g.- microwave toaster / toaster oven , stove top , oven , etc. - If no kitchen access , please include details how patient gets food / drink , how they're restricted , etc. 19 Have safety knobs or an automatic shut - off installed on the stove ? ( Y / N ) 20 Are medications clearly labeled ? ( Y / N )</t>
  </si>
  <si>
    <t xml:space="preserve">10/22</t>
  </si>
  <si>
    <t xml:space="preserve">Medicare Identification Number:</t>
  </si>
  <si>
    <t xml:space="preserve">1m31f96ch 28</t>
  </si>
  <si>
    <t xml:space="preserve">Name of Patient:</t>
  </si>
  <si>
    <t xml:space="preserve">Sedakhoreni Sinanyan</t>
  </si>
  <si>
    <t xml:space="preserve">Performed by:</t>
  </si>
  <si>
    <t xml:space="preserve">Jyoti Suhag</t>
  </si>
  <si>
    <t xml:space="preserve">Referral Date:</t>
  </si>
  <si>
    <t xml:space="preserve">10/7</t>
  </si>
  <si>
    <t xml:space="preserve">In Home Assessment - First Smile -1.pdf</t>
  </si>
  <si>
    <t xml:space="preserve">yes cameras installed in the living room and the bedroek , ر ہونے کی recommended tire extinguisher installment ? ho ho No AO по caregiver is attentive Mo</t>
  </si>
  <si>
    <t xml:space="preserve">caregiver is attentive</t>
  </si>
  <si>
    <t xml:space="preserve">suggests caregiver is attentive ; however patient's care needs exceed what one caregiver . manage alone . support would benefit both</t>
  </si>
  <si>
    <t xml:space="preserve">Observation suggests caregiver is attentive and caring; however patient's care needs appear to exceed what one caregiver can sustainably manage alone. Additional support would benefit both patient safety and caregiver well-being</t>
  </si>
  <si>
    <t xml:space="preserve">12/10 11/20 Anush Suren Hayrapetian 9/3/1937 91A 16TH 1069son son Ave # 3 , Glemadale CA 91201</t>
  </si>
  <si>
    <t xml:space="preserve">1060 Elm Ave #3, Glendale CA 91201</t>
  </si>
  <si>
    <t xml:space="preserve">busine Chakaian apartment reut patient lives alone , but 1967 family ? independently yes</t>
  </si>
  <si>
    <t xml:space="preserve">Lusine Chakaian</t>
  </si>
  <si>
    <t xml:space="preserve">8/9/1937</t>
  </si>
  <si>
    <t xml:space="preserve">12/10/2025</t>
  </si>
  <si>
    <t xml:space="preserve">2091A16TT 28</t>
  </si>
  <si>
    <t xml:space="preserve">Suren Hayrapetian</t>
  </si>
  <si>
    <t xml:space="preserve">Anush</t>
  </si>
  <si>
    <t xml:space="preserve">11/20/2025</t>
  </si>
  <si>
    <t xml:space="preserve">Karapet_Markar_-_in_home_assessment.pdf</t>
  </si>
  <si>
    <t xml:space="preserve">по по по religious beliefs appear to provide comfort to the patient</t>
  </si>
  <si>
    <t xml:space="preserve">religious beliefs appear to provide comfort to the patient</t>
  </si>
  <si>
    <t xml:space="preserve">по yes has fallen last month no injuries patient trying to be . independant as much as</t>
  </si>
  <si>
    <t xml:space="preserve">patient trying to be. inde pendant as much al cau</t>
  </si>
  <si>
    <t xml:space="preserve">reports pain that may limit times , affecting independent requires assistance to maintain proper daily routine .</t>
  </si>
  <si>
    <t xml:space="preserve">Patient reports pain that may limit activity at times, affecting independent living and requires assistance to maintain safety and proper daily routine.</t>
  </si>
  <si>
    <t xml:space="preserve">2/17/26 02/03/26 Anush Karabet Markar 07/01/1950 9H36KE 74V48 512 Concord St # 7 , Blendale , CA 91203</t>
  </si>
  <si>
    <t xml:space="preserve">512 Concord st #7, Glendale, CA 91203</t>
  </si>
  <si>
    <t xml:space="preserve">2/17/26 02/03/26 Anush Karabet Markar 07/01/1950 9H36KE 74V48 512 Concord St # 7 , Blendale , CA 91203 Karabet Markow condo rent by the family ? patient lives with his wife has a small dog ; house has stairs going to the 2nd floor room independently on the 2nd floor yes yes more on dim side Yes yes grab bars installed uses stove top to yes no Yes warm up his food . caregiver and his wife take eave of meal preparation standard stove</t>
  </si>
  <si>
    <t xml:space="preserve">Karabet Markar</t>
  </si>
  <si>
    <t xml:space="preserve">2/17/26 02/03/26 Anush Karabet Markar 07/01/1950 9H36KE 74V48</t>
  </si>
  <si>
    <t xml:space="preserve">07/01/1950</t>
  </si>
  <si>
    <t xml:space="preserve">9H36KE 7UV48</t>
  </si>
  <si>
    <t xml:space="preserve">2/17/26 02/03/26 Anush Karabet Markar</t>
  </si>
  <si>
    <t xml:space="preserve">2/17/26 02/03/26 Anush</t>
  </si>
  <si>
    <t xml:space="preserve">2/17/26 02/03/26</t>
  </si>
  <si>
    <t xml:space="preserve">02/03/26</t>
  </si>
  <si>
    <t xml:space="preserve">Hayganoush_Khodagholian.pdf</t>
  </si>
  <si>
    <t xml:space="preserve">по Yes по putient displays inuctiona sensitivity</t>
  </si>
  <si>
    <t xml:space="preserve">patient displays emotional sensitivity</t>
  </si>
  <si>
    <t xml:space="preserve">Yes Yes пс yes yes 120 no firearm in the по home only for leccilding use camera installed in the living room automatic shut - off switch for stove top ? likes to по with neighbors по по по по invirenment is safe</t>
  </si>
  <si>
    <t xml:space="preserve">invirenment is safe</t>
  </si>
  <si>
    <t xml:space="preserve">did not verbalize conecris observed emotional to experiened caregiver bascol on the patient . Supplemented / miccy benefit bath</t>
  </si>
  <si>
    <t xml:space="preserve">Caregiver did not verbalize conecrins but appears to experienec caregiver strain bascal on observeal enzoficial status of the patient. Supplemental support macy Benefit both</t>
  </si>
  <si>
    <t xml:space="preserve">12926 12/17/25 Anush Haygancush khodaghotion 05/22/1945 8QQ8AKIPP22 325 W 3rd St # 325 , Busbruck , CA 91502</t>
  </si>
  <si>
    <t xml:space="preserve">325 W3rd St#325, Burbouck, CA 91502</t>
  </si>
  <si>
    <t xml:space="preserve">12926 12/17/25 Anush Haygancush khodaghotion 05/22/1945 8QQ8AKIPP22 325 W 3rd St # 325 , Busbruck , CA 91502 Anahit apartment rent the family ? patient lives alone pets ; no stairs in the home по independently yes Yes fairly bright no stairs in the home yes grab bor yes caregiver helps with meal preparation ne " Standard stove yes bill orgue , lizer</t>
  </si>
  <si>
    <t xml:space="preserve">Anahit</t>
  </si>
  <si>
    <t xml:space="preserve">12926 12/17/25 Anush Haygancush khodaghotion 05/22/1945 8QQ8AKIPP22</t>
  </si>
  <si>
    <t xml:space="preserve">05/22/1945</t>
  </si>
  <si>
    <t xml:space="preserve">12926</t>
  </si>
  <si>
    <t xml:space="preserve">1/29/26</t>
  </si>
  <si>
    <t xml:space="preserve">Sona.elajan@awacare.com 9495039101 12/17/2025 01/02/2026 Hayganaush chodaghalian 05/22/1945 8QQ8AkipP22 st . # 325 , Burbank , CA 91502</t>
  </si>
  <si>
    <t xml:space="preserve">8 QQ 8AK1 PP22</t>
  </si>
  <si>
    <t xml:space="preserve">Haygoroush khodagholian</t>
  </si>
  <si>
    <t xml:space="preserve">12926 12/17/25 Anush Haygancush khodaghotion</t>
  </si>
  <si>
    <t xml:space="preserve">12926 12/17/25</t>
  </si>
  <si>
    <t xml:space="preserve">12/17/25</t>
  </si>
  <si>
    <t xml:space="preserve">Home assessment.pdf</t>
  </si>
  <si>
    <t xml:space="preserve">no по patient is foregelfull , but caregiver reassure her</t>
  </si>
  <si>
    <t xml:space="preserve">patient is forgetfull, but caregiver reassure her</t>
  </si>
  <si>
    <t xml:space="preserve">completely_independent; requires_cueing_or_coaching; requires_assistance; cannot_do_at_all</t>
  </si>
  <si>
    <t xml:space="preserve">yes no firearms in the house Yes по по yes two cameras intellect ( for infole ama sutside aftering mont no [ recommend fire extinguisher Installation ; stove stoff ikanebr ? no Wo по NO hip fructure four years Yes ада caused ' by fall MO takes seroquel по</t>
  </si>
  <si>
    <t xml:space="preserve">hip fracture four years ago caused by fall</t>
  </si>
  <si>
    <t xml:space="preserve">demonstrates mild forgetfullness cooperative and responsive scopport . Family is very</t>
  </si>
  <si>
    <t xml:space="preserve">Patient demonstrates mild forgetfullness but remains cooperative and responsive to caregiver support. Family is very supportive.</t>
  </si>
  <si>
    <t xml:space="preserve">7320 Yarmouth Ave, Reseda, CA 91335</t>
  </si>
  <si>
    <t xml:space="preserve">Lily Ginokyan</t>
  </si>
  <si>
    <t xml:space="preserve">8/31/1936</t>
  </si>
  <si>
    <t xml:space="preserve">09/15/25</t>
  </si>
  <si>
    <t xml:space="preserve">4PE44633G 97</t>
  </si>
  <si>
    <t xml:space="preserve">Zhenia Ginosyan</t>
  </si>
  <si>
    <t xml:space="preserve">10/03/25</t>
  </si>
  <si>
    <t xml:space="preserve">09/08/25</t>
  </si>
  <si>
    <t xml:space="preserve">In Home Assessment - First Smile.pdf</t>
  </si>
  <si>
    <t xml:space="preserve">по то yes sometimes when can't see cavefver around patient is wako</t>
  </si>
  <si>
    <t xml:space="preserve">sometimes whers can't see caregiver around patient is calm</t>
  </si>
  <si>
    <t xml:space="preserve">по ? по по по по по family members seem very affective</t>
  </si>
  <si>
    <t xml:space="preserve">family members seem very attentive</t>
  </si>
  <si>
    <t xml:space="preserve">attentive and loving but overwhelmed managing needs along with personal Additional seapport services to unsure patient safty caregiver becau</t>
  </si>
  <si>
    <t xml:space="preserve">Caregiver is attentive and loving but reports feeling overwhelmed managing responsibilities. Additional support services are recommended to ensure patient safety and prevent caregiver burnout.</t>
  </si>
  <si>
    <t xml:space="preserve">12/20/25 12/16/25 Anush Anahithmayaki / Anahit Amaryan 07/08/1954 3T66 MESTE 88 W Madison Ave myst 112 , Montebello 14 .</t>
  </si>
  <si>
    <t xml:space="preserve">112 W Madison Ave apt 112, Montebello</t>
  </si>
  <si>
    <t xml:space="preserve">07/08/1954</t>
  </si>
  <si>
    <t xml:space="preserve">12/20/25</t>
  </si>
  <si>
    <t xml:space="preserve">3766 ME STE 88</t>
  </si>
  <si>
    <t xml:space="preserve">Anahithmayaki / Anahit Ananyas</t>
  </si>
  <si>
    <t xml:space="preserve">12/16/25</t>
  </si>
  <si>
    <t xml:space="preserve">Home assessment - 1.pdf</t>
  </si>
  <si>
    <t xml:space="preserve">patient is resistunt to follow ng caregiver's instructions.</t>
  </si>
  <si>
    <t xml:space="preserve">yes yes по no firearm in the home smoke detector is installed no extinguisher installed in the home but each floor , of the building has one in the hallway yes Yes GPS tracking no recommended sadely hoobs installation yes none that they aware of по yes due to rising rent costs MO not sure yes a year ago ; fractured hija Family support present по yes the is always a reason</t>
  </si>
  <si>
    <t xml:space="preserve">Family support present</t>
  </si>
  <si>
    <t xml:space="preserve">supervision with daily activities . anxicty noted during assessment . attentive and supportive , uses to help the patient remember , putient's stass .</t>
  </si>
  <si>
    <t xml:space="preserve">Patient requires supervision with daily activities. Memory related anxiety noted during assessment. Caregiver is attentive and supportive, uses various strategies to help the patient remember, which helps reduce patient's stress.</t>
  </si>
  <si>
    <t xml:space="preserve">09/19/2025 08/29/2005 Anush Abraham Nigoghossian 7/13/1947 KE09TOFM40 Pacific Ave , got 1506 , Long Beach , CA 90813 . Edward Nigoghosian apartment 1</t>
  </si>
  <si>
    <t xml:space="preserve">714 Pacific Ave, apt 1506, Long Beach, CA 90013</t>
  </si>
  <si>
    <t xml:space="preserve">Edward Nigoghosian</t>
  </si>
  <si>
    <t xml:space="preserve">7/13/1947</t>
  </si>
  <si>
    <t xml:space="preserve">09/19/2025</t>
  </si>
  <si>
    <t xml:space="preserve">1E09T08 FM40</t>
  </si>
  <si>
    <t xml:space="preserve">Abraham Nigoghossian</t>
  </si>
  <si>
    <t xml:space="preserve">08/29/2005</t>
  </si>
  <si>
    <t xml:space="preserve">In_Home_Assessment_Fazio.pdf</t>
  </si>
  <si>
    <t xml:space="preserve">N N N / A Sleeps approx 1hrs a day аррох</t>
  </si>
  <si>
    <t xml:space="preserve">N/A</t>
  </si>
  <si>
    <t xml:space="preserve">requires_cueing_or_coaching; requires_assistance; cannot_do_at_all</t>
  </si>
  <si>
    <t xml:space="preserve">cannot_assess</t>
  </si>
  <si>
    <r>
      <rPr>
        <sz val="10"/>
        <rFont val="Arial"/>
        <family val="0"/>
        <charset val="1"/>
      </rPr>
      <t xml:space="preserve">Y N / A No Firearms Y Smoke detector </t>
    </r>
    <r>
      <rPr>
        <sz val="10"/>
        <rFont val="Noto Sans CJK SC"/>
        <family val="2"/>
      </rPr>
      <t xml:space="preserve">시 </t>
    </r>
    <r>
      <rPr>
        <sz val="10"/>
        <rFont val="Arial"/>
        <family val="0"/>
        <charset val="1"/>
      </rPr>
      <t xml:space="preserve">N له N ? N Normal behavior N V Hospital visit because of Fall Sept 14 , 2025 N / A N Withdraws - Not agressive N Y Mood changer N</t>
    </r>
  </si>
  <si>
    <t xml:space="preserve">16-17-2026 6-11-2026 Van Dyke Millie Fazio 9-15-1936 8666DF8KR58 3918 OCEAN VIEW Blvd Montrose CA91020 Elizabeth Divecchia / Millie Fazio Single Home Rent Neice the family ? 2 cats Elizabeth Divecchia Require Assistance Sleeps in a in a Recliner Y N Y NA N No Stains in the home Nud grab bars Y She does Not до go into Kitchen N</t>
  </si>
  <si>
    <t xml:space="preserve">3918 OCEAN VIEW Blvd Montrose CA91020</t>
  </si>
  <si>
    <t xml:space="preserve">Elizabeth Divecchia / Millie Fazio</t>
  </si>
  <si>
    <t xml:space="preserve">9-15-1936</t>
  </si>
  <si>
    <t xml:space="preserve">6-17-2026</t>
  </si>
  <si>
    <t xml:space="preserve">8G66DF8KR58</t>
  </si>
  <si>
    <t xml:space="preserve">Millie Fazio</t>
  </si>
  <si>
    <t xml:space="preserve">Van Dyke</t>
  </si>
  <si>
    <t xml:space="preserve">6-11-2026</t>
  </si>
  <si>
    <t xml:space="preserve">Sayamyan_Anait_-_in_home_assessment.pdf</t>
  </si>
  <si>
    <t xml:space="preserve">Yes yes takes med . For insomnia yes sometimes patient appears quite</t>
  </si>
  <si>
    <t xml:space="preserve">patient appears quite</t>
  </si>
  <si>
    <t xml:space="preserve">y es по fire arms in the home yes по yes 24/7 attendanc yes по bathroom mobility supports ? yes по по по по Revironment is safe</t>
  </si>
  <si>
    <t xml:space="preserve">Environment is safe</t>
  </si>
  <si>
    <t xml:space="preserve">has reduced functional and depends on caregiver Continued support is required safely and proper daily care .</t>
  </si>
  <si>
    <t xml:space="preserve">Patient has reduced functional capacity and depends on caregiver support. Continued support is required to ensure safety and proper daily care.</t>
  </si>
  <si>
    <t xml:space="preserve">3/19 3/5 . Anush Anait Sayangan 10/3/1 948 5EQ5QPOX 496 1835 W kenneth Rd , Glendale , CA 91201 Maga single family home</t>
  </si>
  <si>
    <t xml:space="preserve">1835 W Kenneth Rd, Glendale, CA 91201</t>
  </si>
  <si>
    <t xml:space="preserve">Maga</t>
  </si>
  <si>
    <t xml:space="preserve">10/3/1948</t>
  </si>
  <si>
    <t xml:space="preserve">3/19</t>
  </si>
  <si>
    <t xml:space="preserve">5EQ5 QPOX 496</t>
  </si>
  <si>
    <t xml:space="preserve">Anait Sayanyan</t>
  </si>
  <si>
    <t xml:space="preserve">3/5</t>
  </si>
  <si>
    <t xml:space="preserve">Mondragon_Maria_-_in_home_assessment_completed.pdf</t>
  </si>
  <si>
    <t xml:space="preserve">yes Yes по has trouble to fall slags makes up very frequently no additional behavione concerns observed</t>
  </si>
  <si>
    <t xml:space="preserve">no additional behavioral concerns observed</t>
  </si>
  <si>
    <t xml:space="preserve">по yes адо had a fall a few months minor injuring - brusing yes very agressive ; verbaly</t>
  </si>
  <si>
    <t xml:space="preserve">is attentive and supportive overwhelmed ; wolditional support services are .</t>
  </si>
  <si>
    <t xml:space="preserve">Caregiver is attentive and supportive but appears overwhelmed; additional caregiver support services are recommended.</t>
  </si>
  <si>
    <t xml:space="preserve">12/20 12/17 Anush Maria Mondragon 07/14/1934 5VK5XN3XM66 109/2 Lukist Sun Valley , CA 91302 Angie Single home rent she lives with her Caregiver</t>
  </si>
  <si>
    <t xml:space="preserve">10912 Lull St Sun Valley, CA 91352</t>
  </si>
  <si>
    <t xml:space="preserve">Angie</t>
  </si>
  <si>
    <t xml:space="preserve">07/14/1934</t>
  </si>
  <si>
    <t xml:space="preserve">12/20</t>
  </si>
  <si>
    <t xml:space="preserve">Nehnewz , nehrewe@cusare.com 2132543067 ext 108 12/17/2025 Mondragon 02/14/1934 SVK5XN3xM66</t>
  </si>
  <si>
    <t xml:space="preserve">5VK 5XN3X M66</t>
  </si>
  <si>
    <t xml:space="preserve">Maria Mondragon</t>
  </si>
  <si>
    <t xml:space="preserve">12/17</t>
  </si>
  <si>
    <t xml:space="preserve">In Home Assessment 11-16-25.pdf</t>
  </si>
  <si>
    <t xml:space="preserve">yes по пишут бе yes aware that her caregiver is home pirfient is calm and attentive during the vist</t>
  </si>
  <si>
    <t xml:space="preserve">patient is calm and attentive during the visit</t>
  </si>
  <si>
    <t xml:space="preserve">envirament is safe cond well-</t>
  </si>
  <si>
    <t xml:space="preserve">Environment is safe and well-maintained</t>
  </si>
  <si>
    <t xml:space="preserve">demonstrates loving and attentive she appears overwhelmed patient's increasing needs . Additional services may help reduce souregiver improve overall eave manag</t>
  </si>
  <si>
    <t xml:space="preserve">Caregiver demonstrates loving and attentive care; however she appears overwhelmed with the patient's increasing needs. Additional support services may help reduce caregiver burden and improve overall care management.</t>
  </si>
  <si>
    <t xml:space="preserve">822 E ENE Ave Glandale, CA 9/205</t>
  </si>
  <si>
    <t xml:space="preserve">Adrine</t>
  </si>
  <si>
    <t xml:space="preserve">8/7/1939</t>
  </si>
  <si>
    <t xml:space="preserve">11/16/25</t>
  </si>
  <si>
    <t xml:space="preserve">3CX 9A 35AW34</t>
  </si>
  <si>
    <t xml:space="preserve">Tamara Vartani</t>
  </si>
  <si>
    <t xml:space="preserve">10/17/25</t>
  </si>
  <si>
    <t xml:space="preserve">Marcia_Burnett_Assessment.pdf</t>
  </si>
  <si>
    <t xml:space="preserve">Y 4 Y memory lose - Repeats , Doas not understand questions , Anjour , Paranoid</t>
  </si>
  <si>
    <t xml:space="preserve">Short-term memory loss - Repeats, Does not understand basic questions, Anxious, Paranoid</t>
  </si>
  <si>
    <t xml:space="preserve">N They are Securely Stored N N ? Close - Once a week Possible Camera installed Marcia recently got so upset about loating her her neighbor - the police were N Police were called y did a wellness Chech Y Only to the guym that is N Very Safe I When she loses her phone Which she has lost 4 recently Repeats , gets upset when discussing her dementia Believes - Someme is stealing her phones</t>
  </si>
  <si>
    <t xml:space="preserve">Very Safe</t>
  </si>
  <si>
    <t xml:space="preserve">4-23-26 S. Van Dyke Burnett 16/6/65 16V 26 PG8 WE44 432 E Sacramento St. Altadena CA 91001</t>
  </si>
  <si>
    <t xml:space="preserve">432 E Sadicamento St. Altadena, CA 91001</t>
  </si>
  <si>
    <t xml:space="preserve">4-23-26 S. Van Dyke Burnett 16/6/65 16V 26 PG8 WE44 432 E Sacramento St. Altadena CA 91001 Marcia &amp; James Single Family Home own husband 2 dogs daughfor bedroom is upstairs the family ? Yes Independently Y Y Y Y NOT Needed The patient- does Not Cook - She has access but does not Daughter go there + husband cook 4 James - distributes medication Weekly in pill , Container &amp; Reminds her to take daily</t>
  </si>
  <si>
    <t xml:space="preserve">Marcia &amp; James</t>
  </si>
  <si>
    <t xml:space="preserve">4-23-26 S. Van Dyke Burnett 16/6/65</t>
  </si>
  <si>
    <t xml:space="preserve">06/06/1965</t>
  </si>
  <si>
    <t xml:space="preserve">4-23-26</t>
  </si>
  <si>
    <t xml:space="preserve">04/23/2026</t>
  </si>
  <si>
    <t xml:space="preserve">4-23-26 S. Van Dyke Burnett 16/6/65 16V 26 PG8 WE44</t>
  </si>
  <si>
    <t xml:space="preserve">6/26 PG8WE44</t>
  </si>
  <si>
    <t xml:space="preserve">Marein Burnett</t>
  </si>
  <si>
    <t xml:space="preserve">S. Van Dyke</t>
  </si>
  <si>
    <t xml:space="preserve">4-23-26 S. Van Dyke Burnett</t>
  </si>
  <si>
    <t xml:space="preserve">Suehiro_IN_Home_Assessment_1.pdf</t>
  </si>
  <si>
    <t xml:space="preserve">No follow Hesitatant to see tamly members . Judgement - Yes Anixt When wife leaves .</t>
  </si>
  <si>
    <t xml:space="preserve">N Y N N A ? When wife is gone - Gug wants to go On a walk - Ins how to get home need to lock of alarm Not during 212 years- Keys , hideden ✓ Seef unsolating - AY N will get angry - N with SON- will get N N N Paranoid about Putting Falcay Tresaction</t>
  </si>
  <si>
    <t xml:space="preserve">5/18/2026 522026 ST Ang Suchiro 9/21/1954 2GN0X21K409 CA 319 Canon De Paraiso Lane , La Canda Flintridge</t>
  </si>
  <si>
    <t xml:space="preserve">319 Canon Dr, Paraiso Lane, La Canada Flintridge, CA</t>
  </si>
  <si>
    <t xml:space="preserve">5/18/2026 522026 ST Ang Suchiro 9/21/1954 2GN0X21K409 CA 319 Canon De Paraiso Lane , La Canda Flintridge Guy &amp; Elizabeth single Home own Wife / Son the family ? Independent Y Y Y grab bais all can use N / A N arks or 5 x Wife is giving him medication- -Sometimes he gets confused 4 / nebication</t>
  </si>
  <si>
    <t xml:space="preserve">Guy &amp; Elizabeth</t>
  </si>
  <si>
    <t xml:space="preserve">5/18/2026 522026 ST Ang Suchiro 9/21/1954</t>
  </si>
  <si>
    <t xml:space="preserve">9/27/1954</t>
  </si>
  <si>
    <t xml:space="preserve">5/18/2026 522026 ST Ang Suchiro 9/21/1954 2GN0X21K409 CA</t>
  </si>
  <si>
    <t xml:space="preserve">2GNOX Z1KA09</t>
  </si>
  <si>
    <t xml:space="preserve">5/18/2026 522026 ST Ang Suchiro</t>
  </si>
  <si>
    <t xml:space="preserve">Duy Suchiro</t>
  </si>
  <si>
    <t xml:space="preserve">5/18/2026 522026 ST</t>
  </si>
  <si>
    <t xml:space="preserve">5/18/2026 522026</t>
  </si>
  <si>
    <t xml:space="preserve">5/2/2026</t>
  </si>
  <si>
    <t xml:space="preserve">Varoujan_Babayan.pdf</t>
  </si>
  <si>
    <t xml:space="preserve">ho 120 ho calm and quiet</t>
  </si>
  <si>
    <t xml:space="preserve">calm and quiet</t>
  </si>
  <si>
    <t xml:space="preserve">Yes no Sirearm in the home yes по по camera installed yes in patient's Toom по ? fire extinguisher safety knobs for stave grab bear patient prefers minimal social interaction по по по по yes a fow days ago minor injuries : Gruisin enviroment is safe . patient is eatin</t>
  </si>
  <si>
    <t xml:space="preserve">environment is safe</t>
  </si>
  <si>
    <t xml:space="preserve">On reduced functional capacity caregiver support for completion of daily living tastes management . Accolitional services neccy helps maintain effective care at home .</t>
  </si>
  <si>
    <t xml:space="preserve">patient has reduced functional capacity and depends on caregiver support for safe completion of daily living tastes and home management. Additional support services may help maintain safe and effective care at home.</t>
  </si>
  <si>
    <t xml:space="preserve">1/204 1/5 Anush Varujan Babayan 04/20/194 4M24E824JSO 1700 Grismer Ave apt . A , Burbank , CA 9150</t>
  </si>
  <si>
    <t xml:space="preserve">1700 Grismer Ave apt A, Burbank, CA 91504</t>
  </si>
  <si>
    <t xml:space="preserve">1/204 1/5 Anush Varujan Babayan 04/20/194 4M24E824JSO 1700 Grismer Ave apt . A , Burbank , CA 9150 Kovorch apartment rent the family ? по patient lives with his no stairs in the home Son pets ; independently , sonuctinics needs het p sometimes forgets where things are Yes yes Fairy bright no stairs in the home yes toilet riser patient's son takes по Care of meal pre- poration по standard stove yes luses pill organizer</t>
  </si>
  <si>
    <t xml:space="preserve">Kovoch</t>
  </si>
  <si>
    <t xml:space="preserve">1/204 1/5 Anush Varujan Babayan 04/20/194 4M24E824JSO</t>
  </si>
  <si>
    <t xml:space="preserve">04/20/1941</t>
  </si>
  <si>
    <t xml:space="preserve">1/204</t>
  </si>
  <si>
    <t xml:space="preserve">1/29</t>
  </si>
  <si>
    <t xml:space="preserve">4M24F82UJSO</t>
  </si>
  <si>
    <t xml:space="preserve">1/204 1/5 Anush Varujan Babayan</t>
  </si>
  <si>
    <t xml:space="preserve">Varoujan Babayan</t>
  </si>
  <si>
    <t xml:space="preserve">1/204 1/5 Anush</t>
  </si>
  <si>
    <t xml:space="preserve">1/204 1/5</t>
  </si>
  <si>
    <t xml:space="preserve">1/5/2026</t>
  </si>
  <si>
    <t xml:space="preserve">Shahnazaryan_Ashot.pdf</t>
  </si>
  <si>
    <t xml:space="preserve">M he sleeps good but N Short time . N</t>
  </si>
  <si>
    <r>
      <rPr>
        <sz val="10"/>
        <rFont val="Arial"/>
        <family val="0"/>
        <charset val="1"/>
      </rPr>
      <t xml:space="preserve">Y Y </t>
    </r>
    <r>
      <rPr>
        <sz val="10"/>
        <rFont val="Noto Sans CJK SC"/>
        <family val="2"/>
      </rPr>
      <t xml:space="preserve">ソ </t>
    </r>
    <r>
      <rPr>
        <sz val="10"/>
        <rFont val="Arial"/>
        <family val="0"/>
        <charset val="1"/>
      </rPr>
      <t xml:space="preserve">Y N ? y N N N N</t>
    </r>
  </si>
  <si>
    <t xml:space="preserve">211126 Parastou Ashot 11,26,1955 5nVoxг7Fjoz 10480 Sunland bir , unit 41 91040</t>
  </si>
  <si>
    <t xml:space="preserve">10480 Sunland blv, unit 41 91040</t>
  </si>
  <si>
    <t xml:space="preserve">211126 Parastou Ashot 11,26,1955 5nVoxг7Fjoz 10480 Sunland bir , unit 41 91040 his daughter Apartment own daughte the family ? he has some pain in his back but he is ok in general Y Y Y y א Y Y y his daughter doing that stuff .</t>
  </si>
  <si>
    <t xml:space="preserve">his daughter</t>
  </si>
  <si>
    <t xml:space="preserve">211126 Parastou Ashot 11,26,1955</t>
  </si>
  <si>
    <t xml:space="preserve">11/26,1955</t>
  </si>
  <si>
    <t xml:space="preserve">211126</t>
  </si>
  <si>
    <t xml:space="preserve">2/1,26</t>
  </si>
  <si>
    <t xml:space="preserve">211126 Parastou Ashot 11,26,1955 5nVoxг7Fjoz</t>
  </si>
  <si>
    <t xml:space="preserve">5nvoxr7Fj02</t>
  </si>
  <si>
    <t xml:space="preserve">Sona Sona.eloyan@auracare.com 949-503-9101 12/16/2025</t>
  </si>
  <si>
    <t xml:space="preserve">Ashot Shahnazaryan</t>
  </si>
  <si>
    <t xml:space="preserve">211126 Parastou Ashot</t>
  </si>
  <si>
    <t xml:space="preserve">Parastou</t>
  </si>
  <si>
    <t xml:space="preserve">12/16/2025</t>
  </si>
  <si>
    <t xml:space="preserve">Svetlana_C_Assessment.pdf</t>
  </si>
  <si>
    <t xml:space="preserve">Yes Yeah Yes client is not Orccented , Self talk .</t>
  </si>
  <si>
    <t xml:space="preserve">client is not Oriented, self talk.</t>
  </si>
  <si>
    <t xml:space="preserve">NO No Yes N / A Yes - in Last - 8 month Yes NO уля ? at times No No No NO . 1245 Dehydrited , back )</t>
  </si>
  <si>
    <t xml:space="preserve">daughter : full depandent on her full time caregiver . communicate in English at all . in her house and room .</t>
  </si>
  <si>
    <t xml:space="preserve">client is full depandent on daughter: Mariana is her full time caregiver. client cannot communicate in English at all. she stays in her house and room.</t>
  </si>
  <si>
    <t xml:space="preserve">Simi Valley , CA 93063 Daughter ) yer No N / A the family ?</t>
  </si>
  <si>
    <t xml:space="preserve">2348 Saint Clair Ave. Simi Valley, CA 93063</t>
  </si>
  <si>
    <t xml:space="preserve">Mariana (Daughter)</t>
  </si>
  <si>
    <t xml:space="preserve">June, 12, 1953</t>
  </si>
  <si>
    <t xml:space="preserve">17 June 2026</t>
  </si>
  <si>
    <t xml:space="preserve">Svetlana Chilingaryon.</t>
  </si>
  <si>
    <t xml:space="preserve">17. June 2026</t>
  </si>
  <si>
    <t xml:space="preserve">: Guide Aava.Care Jun 12-1953 Home phone # : Ct Cell # : C Ct Email : Relation : Daughter Cell Phone : 818-4382232 Email : Relation : Cousin . Cell # : 218-618-6272 Email : Svetchill03@gmail.com Temporary Prepay under 2wks CC / ACH Email Invoice Invoice Mail Activities Permitted П No restrictions Monitor Activity ☐ fall Risk . Up as Tolerated ☐ Complete Bed Rest Status Forgetful- at times Oriented Resistant might Safety Supervision needed Other : ☐ Exercise routine ✓ Walking ☐ Smoking Other weak . thing in her mouth . mood change Down : No ) Dinner Other Other feel staccep Other : like mustays portato | Finger food</t>
  </si>
  <si>
    <t xml:space="preserve">9 June 2026</t>
  </si>
  <si>
    <t xml:space="preserve">25.pdf</t>
  </si>
  <si>
    <t xml:space="preserve">yes family is not aecy her diagnosts accepting Yes Yes depression</t>
  </si>
  <si>
    <t xml:space="preserve">dypression</t>
  </si>
  <si>
    <r>
      <rPr>
        <sz val="10"/>
        <rFont val="Arial"/>
        <family val="0"/>
        <charset val="1"/>
      </rPr>
      <t xml:space="preserve">no firearms in the home yes по installed in the hallwed of the recilding yes по по recommendedt </t>
    </r>
    <r>
      <rPr>
        <sz val="10"/>
        <rFont val="Noto Sans CJK SC"/>
        <family val="2"/>
      </rPr>
      <t xml:space="preserve">等 </t>
    </r>
    <r>
      <rPr>
        <sz val="10"/>
        <rFont val="Arial"/>
        <family val="0"/>
        <charset val="1"/>
      </rPr>
      <t xml:space="preserve">hower chan ? Yes yes pho ne per somune conned her husband yes по чез theme environment generally set yes y es Yes yes misinterpretation was diagnosed with bipolar disorder</t>
    </r>
  </si>
  <si>
    <t xml:space="preserve">home environment severally safe</t>
  </si>
  <si>
    <t xml:space="preserve">affective , caring but appocars overwhelmed due to continuous responsibilities . Might be eligible for support and respite cave caregiver fatigue and quality &amp; cave .</t>
  </si>
  <si>
    <t xml:space="preserve">Caregiver is attentive, caring but appears somewhat overwhelmed due to continuous caregiving responsibilities. Might be eligible for additional support and respite care to help prevent caregiver fatigue and maintain quality of care.</t>
  </si>
  <si>
    <t xml:space="preserve">10/08/25 9/10/25 Anush Marta Francis 7/29/19/59 8E04NM STM60 5500 Hollywoool blvd # 413 Los Angeles , CA 9002 Roger Franer's apartment rent the family ? [ offent lives with her husband , no pets , no starrs independently sometimes neuls help yes Yes fairly bright no stairs in the home ab bar Yes grab yes по patient loves to food . under husband's supervision prepare standart stove can't assess he med available at home .</t>
  </si>
  <si>
    <t xml:space="preserve">5500 Hollywood blvd #413 Los Angeles, CA 90028</t>
  </si>
  <si>
    <t xml:space="preserve">Roger Franers</t>
  </si>
  <si>
    <t xml:space="preserve">7/29/1959</t>
  </si>
  <si>
    <t xml:space="preserve">10/08/25</t>
  </si>
  <si>
    <t xml:space="preserve">8E04NM STM60</t>
  </si>
  <si>
    <t xml:space="preserve">Marta Francis</t>
  </si>
  <si>
    <t xml:space="preserve">✓</t>
  </si>
  <si>
    <t xml:space="preserve">9/10/25</t>
  </si>
  <si>
    <t xml:space="preserve">MARIA_GABRIELE_AVAACARE_2.pdf</t>
  </si>
  <si>
    <t xml:space="preserve">requires_assistance; cannot_do_at_all</t>
  </si>
  <si>
    <t xml:space="preserve">5872 Via Susana Riv 92506</t>
  </si>
  <si>
    <t xml:space="preserve">5872 Via Susana. Riv 92506</t>
  </si>
  <si>
    <t xml:space="preserve">Christina Garcia / Husband /</t>
  </si>
  <si>
    <t xml:space="preserve">Christina Garcia/Husband</t>
  </si>
  <si>
    <t xml:space="preserve">1.00 Amount Due - Please Pay this Amount 50.00 50.00 your payment to the address below AMOUNT 50.00 Client : Invoice : MARIA GABRIELE INV - 27769 - Aug . 27 , 2026 Amount Due on This Invoice : Amount Enclosed : 50.00</t>
  </si>
  <si>
    <t xml:space="preserve">8/24</t>
  </si>
  <si>
    <t xml:space="preserve">3T70WH3GE19</t>
  </si>
  <si>
    <t xml:space="preserve">3T70WH3G 819</t>
  </si>
  <si>
    <t xml:space="preserve">Shaliko_Sargsyan_-_in_home_assessment_report.pdf</t>
  </si>
  <si>
    <t xml:space="preserve">по по по patient demonstrates forgetfulness and repetitie Substioning</t>
  </si>
  <si>
    <t xml:space="preserve">patient demonstrates forgetfulness and repetitive questioning.</t>
  </si>
  <si>
    <t xml:space="preserve">home Rvironment is well</t>
  </si>
  <si>
    <t xml:space="preserve">home Environment is well managed</t>
  </si>
  <si>
    <t xml:space="preserve">demonstrates anxiety when alone reassurance . Caregiver consistent care but may from supplemental support</t>
  </si>
  <si>
    <t xml:space="preserve">patient demonstrates anxiety when alone and requires reassurance. Caregiver provides consistent care but may benefit from supplemental support</t>
  </si>
  <si>
    <t xml:space="preserve">12/20 12/17 Anush Shaliko Sargsyan 08/02/1934 9WN2QTbGF93 15h w stocker St # 2 Glendale A 9/20 Arpine apartment</t>
  </si>
  <si>
    <t xml:space="preserve">517 W Stocker st #2 Glendale A 9/20.</t>
  </si>
  <si>
    <t xml:space="preserve">Arpine</t>
  </si>
  <si>
    <t xml:space="preserve">05/02/1934</t>
  </si>
  <si>
    <t xml:space="preserve">9WN2QT6GF93</t>
  </si>
  <si>
    <t xml:space="preserve">Shaliko Sargsyan</t>
  </si>
  <si>
    <t xml:space="preserve">12/17/2025</t>
  </si>
  <si>
    <t xml:space="preserve">Israel_Rosemary_-_in_home_assessment.pdf</t>
  </si>
  <si>
    <t xml:space="preserve">100 o</t>
  </si>
  <si>
    <t xml:space="preserve">15000 Downey Ave Ap . 261 , Piramom +91725</t>
  </si>
  <si>
    <t xml:space="preserve">15000 Downey Ave Ap. 261, Piramom +91725</t>
  </si>
  <si>
    <t xml:space="preserve">daughter .</t>
  </si>
  <si>
    <t xml:space="preserve">daughter.</t>
  </si>
  <si>
    <t xml:space="preserve">11/03/1950</t>
  </si>
  <si>
    <t xml:space="preserve">Jasmine Spatunaria LUN</t>
  </si>
  <si>
    <t xml:space="preserve">Jasmine Santamaria LUN</t>
  </si>
  <si>
    <t xml:space="preserve">Random</t>
  </si>
  <si>
    <t xml:space="preserve">Michel_Sadek.pdf</t>
  </si>
  <si>
    <t xml:space="preserve">yes yes yes sometimes talks to himself</t>
  </si>
  <si>
    <t xml:space="preserve">Talks to himself</t>
  </si>
  <si>
    <t xml:space="preserve">yes wo firearms in the home yes no Cire extinguisher is availle for building use yes 24/7 attendance yes по cameras , Foto ? yes no по по по bovironment is sure</t>
  </si>
  <si>
    <t xml:space="preserve">has anxiety , and fear when left Requires assistance and ongoing witt sums most of the time . to be exhaustated . supportive services maintain safe and invironmert .</t>
  </si>
  <si>
    <t xml:space="preserve">Patrent has anxiety and fear when left alone. Requires assistance and ongoing support/vision with most of the time. Caregiver seems to be exhausted. Additional supportive services may help maintain safe and stable environment.</t>
  </si>
  <si>
    <t xml:space="preserve">3/13 3 2 Ang Michel Sadek 3/12 SPMS2Q1MD49 215 W Palmer Ave 106 , Canal Marie appartment rent the family ? 406 pationt lives with his wife and son ; no pets ' , no stairs</t>
  </si>
  <si>
    <t xml:space="preserve">215 W Palmer Ave 106 Glendale</t>
  </si>
  <si>
    <t xml:space="preserve">Maria</t>
  </si>
  <si>
    <t xml:space="preserve">3/9/1958</t>
  </si>
  <si>
    <t xml:space="preserve">3/17</t>
  </si>
  <si>
    <t xml:space="preserve">soma.clayam@avvacare . 9495039101 Sadel 3/9/1958 9K G 1 M D49 male com</t>
  </si>
  <si>
    <t xml:space="preserve">4PM 9KG 1MD49</t>
  </si>
  <si>
    <t xml:space="preserve">Michel Sadek</t>
  </si>
  <si>
    <t xml:space="preserve">3/12</t>
  </si>
  <si>
    <t xml:space="preserve">Relif_Yaghoobian_-_Completed_In_home_assessment.pdf</t>
  </si>
  <si>
    <t xml:space="preserve">Clean house .</t>
  </si>
  <si>
    <t xml:space="preserve">minor injuries clean house.</t>
  </si>
  <si>
    <t xml:space="preserve">05/08/26 04/21/26 . yogesh Suhag . Relif Yaghoobian 02/10/1932 5Q324M8HG07 CA 91202 1306 N Columbus Ave APT 114 , glandple</t>
  </si>
  <si>
    <t xml:space="preserve">806 N Columbus Ave APT 114, Glendale CA 91202</t>
  </si>
  <si>
    <t xml:space="preserve">05/08/26 04/21/26 . yogesh Suhag . Relif Yaghoobian 02/10/1932 5Q324M8HG07 CA 91202 1306 N Columbus Ave APT 114 , glandple IRWIN ( SON ) . Apartmut SDM , and daughter in law the family ? as they life in cept complex Rantad visit all days uses . gait butt and a Walker Yes Bright улу Showers chair_ No , he us sually stays mostly . ды Ded get brought to him in bed , No yes .</t>
  </si>
  <si>
    <t xml:space="preserve">IRWIN (SON)</t>
  </si>
  <si>
    <t xml:space="preserve">05/08/26 04/21/26 . yogesh Suhag . Relif Yaghoobian 02/10/1932</t>
  </si>
  <si>
    <t xml:space="preserve">02/10/1932</t>
  </si>
  <si>
    <t xml:space="preserve">05/08/26 04/21/26 . yogesh Suhag . Relif Yaghoobian 02/10/1932 5Q324M8HG07</t>
  </si>
  <si>
    <t xml:space="preserve">5Q324H8HG0T</t>
  </si>
  <si>
    <t xml:space="preserve">05/08/26 04/21/26 . yogesh Suhag . Relif Yaghoobian</t>
  </si>
  <si>
    <t xml:space="preserve">Relif Yaghoobian</t>
  </si>
  <si>
    <t xml:space="preserve">05/08/26 04/21/26 . yogesh Suhag .</t>
  </si>
  <si>
    <t xml:space="preserve">Yogesh Suhag.</t>
  </si>
  <si>
    <t xml:space="preserve">05/08/26 04/21/26 .</t>
  </si>
  <si>
    <t xml:space="preserve">04/21/26</t>
  </si>
  <si>
    <t xml:space="preserve">Julliet_Markarian_-_Completed_In_home_assessment_(2).pdf</t>
  </si>
  <si>
    <t xml:space="preserve">Po</t>
  </si>
  <si>
    <t xml:space="preserve">No.</t>
  </si>
  <si>
    <t xml:space="preserve">1170 SPAZIER AVE , APT 7 glendale</t>
  </si>
  <si>
    <t xml:space="preserve">1170 SPAZIER AVE, APT 7, glendile 91201</t>
  </si>
  <si>
    <t xml:space="preserve">Julliet ( Herself ) 9/201</t>
  </si>
  <si>
    <t xml:space="preserve">Julliet (Herself)</t>
  </si>
  <si>
    <t xml:space="preserve">25/15/26</t>
  </si>
  <si>
    <t xml:space="preserve">05/15/26</t>
  </si>
  <si>
    <t xml:space="preserve">6AU 2DPYD POS</t>
  </si>
  <si>
    <t xml:space="preserve">Tulliet Markarian</t>
  </si>
  <si>
    <t xml:space="preserve">Julliet Markarian</t>
  </si>
  <si>
    <t xml:space="preserve">yogesh Suhag .</t>
  </si>
  <si>
    <t xml:space="preserve">yogesh Suhag.</t>
  </si>
  <si>
    <t xml:space="preserve">05/08/26</t>
  </si>
  <si>
    <t xml:space="preserve">05/03/26</t>
  </si>
  <si>
    <t xml:space="preserve">Valya_Nahapetyan_-_Completed_In_home_assessment_(1).pdf</t>
  </si>
  <si>
    <t xml:space="preserve">I Room , and a small yard .</t>
  </si>
  <si>
    <t xml:space="preserve">Room and a small yard.</t>
  </si>
  <si>
    <t xml:space="preserve">arum doesn't move .</t>
  </si>
  <si>
    <t xml:space="preserve">lift arm doesn't move.</t>
  </si>
  <si>
    <t xml:space="preserve">02/10/1955 4NJ3UT6A918 1121 Rayan and Ave , Unit A , glendale Anna ( daughter ) 9/201</t>
  </si>
  <si>
    <t xml:space="preserve">1121 Rayamond Ave, Unit A, glendale</t>
  </si>
  <si>
    <t xml:space="preserve">Anna (daughter)</t>
  </si>
  <si>
    <t xml:space="preserve">02/10/1955</t>
  </si>
  <si>
    <t xml:space="preserve">05/15/26 05/07/26 . yogesh Suhag .</t>
  </si>
  <si>
    <t xml:space="preserve">4NTZUT 6A 918</t>
  </si>
  <si>
    <t xml:space="preserve">Val alya NahapeTyan</t>
  </si>
  <si>
    <t xml:space="preserve">Valya Nahapetyan</t>
  </si>
  <si>
    <t xml:space="preserve">yes</t>
  </si>
  <si>
    <t xml:space="preserve">Yogesh Suhag</t>
  </si>
  <si>
    <t xml:space="preserve">05/07/26</t>
  </si>
  <si>
    <t xml:space="preserve">Robert_Assatourian_-_Completed_In_home_assessment.pdf</t>
  </si>
  <si>
    <t xml:space="preserve">1407 W Glenoaks Blvd , 204</t>
  </si>
  <si>
    <t xml:space="preserve">1407 W Glenoaks Bhd, 204 Glendale 9/201</t>
  </si>
  <si>
    <t xml:space="preserve">Glendale 9/201 Soma ( daughter in law ) .</t>
  </si>
  <si>
    <t xml:space="preserve">Soma (daughter in law).</t>
  </si>
  <si>
    <t xml:space="preserve">9YK 3 EA 6CH 92</t>
  </si>
  <si>
    <t xml:space="preserve">94K 3 EA 6 CH 92</t>
  </si>
  <si>
    <t xml:space="preserve">Robert Assatourian</t>
  </si>
  <si>
    <t xml:space="preserve">Robent Ass at Owrian</t>
  </si>
  <si>
    <t xml:space="preserve">yogesh Suhay .</t>
  </si>
  <si>
    <t xml:space="preserve">yogesh Suhag</t>
  </si>
  <si>
    <t xml:space="preserve">03/03/26 .</t>
  </si>
  <si>
    <t xml:space="preserve">03/03/26</t>
  </si>
  <si>
    <t xml:space="preserve">Vartan_Masihi_Soleimani_-_IHA_completed.pdf</t>
  </si>
  <si>
    <t xml:space="preserve">patient presents with low</t>
  </si>
  <si>
    <t xml:space="preserve">patient presents with low energy</t>
  </si>
  <si>
    <t xml:space="preserve">по ? fire extinguisher ; carbon monoxi smotee defectors ' yes по по по Yes had a fall two weeks ago ; minor injuries | caregiver is attentive ; environme Safe</t>
  </si>
  <si>
    <t xml:space="preserve">corgiver is attentive; environna safe</t>
  </si>
  <si>
    <t xml:space="preserve">decreased functional capacity , patient risk for Falls , medication difficulty . Primary caregiver essential daily assistance , Further could help caregiver maintain</t>
  </si>
  <si>
    <t xml:space="preserve">Due to decreased functional capacity, patient is at increased risk for falls, medication management difficulty. Primary caregiver provides essential daily assistance, further support services could help caregiver maintain patient's safety.</t>
  </si>
  <si>
    <t xml:space="preserve">1219 Orange Grove Ave , Glendale CA 9128</t>
  </si>
  <si>
    <t xml:space="preserve">1219 Orange Grave Ave, Glendale CA 9120</t>
  </si>
  <si>
    <t xml:space="preserve">Vartan Masihi Soleimani 12/01/1944</t>
  </si>
  <si>
    <t xml:space="preserve">12/01/1944</t>
  </si>
  <si>
    <t xml:space="preserve">2 4 5 6 V K 7 W448</t>
  </si>
  <si>
    <t xml:space="preserve">2446 VK 7 W448</t>
  </si>
  <si>
    <t xml:space="preserve">Vartan Masihi Soleimani</t>
  </si>
  <si>
    <t xml:space="preserve">Lilia_Verkouteren_-_Completed_In-home_assessment.pdf</t>
  </si>
  <si>
    <t xml:space="preserve">She is social .</t>
  </si>
  <si>
    <t xml:space="preserve">She is social.</t>
  </si>
  <si>
    <t xml:space="preserve">3655 4th Avenue La Crescenta , CA 91214</t>
  </si>
  <si>
    <t xml:space="preserve">3655 4th Avenue, La Crescenta, CA 91214</t>
  </si>
  <si>
    <t xml:space="preserve">Sonia Reading .</t>
  </si>
  <si>
    <t xml:space="preserve">Sonia Reading</t>
  </si>
  <si>
    <t xml:space="preserve">Yes . ↑↑ helps .</t>
  </si>
  <si>
    <t xml:space="preserve">12/2/25</t>
  </si>
  <si>
    <t xml:space="preserve">UKOYW M5AH95</t>
  </si>
  <si>
    <t xml:space="preserve">4K0YW M5AH95</t>
  </si>
  <si>
    <t xml:space="preserve">KATHERYN_L_D_home_Assessment_by_SH.pdf</t>
  </si>
  <si>
    <t xml:space="preserve">Yes No N / A Quit &amp; happy to meet People</t>
  </si>
  <si>
    <t xml:space="preserve">Built &amp; happy to meet People.</t>
  </si>
  <si>
    <t xml:space="preserve">No unknown . Yer unknown . No No No Yolah Grab bar , Monitor Camera , ? No NO No No Unknown . has dog &amp; client having her . enjoy</t>
  </si>
  <si>
    <t xml:space="preserve">Has dog &amp; client enjoy having her.</t>
  </si>
  <si>
    <t xml:space="preserve">N / A Feb , 11 2026 Feb. 9 2026 + Mona A. Katheryn LD 5/13/1938 Dizon 1155 Cardiff . Cir . Thousand</t>
  </si>
  <si>
    <t xml:space="preserve">1155 Candiff Cir thousand Oaks</t>
  </si>
  <si>
    <t xml:space="preserve">N / A the family ? Feb , 11 2026 Feb. 9 2026 + Mona A. Katheryn LD 5/13/1938 Dizon 1155 Cardiff . Cir . Thousand Single family home Owh . Spouse ( John ) Yes Independently Yes yes Bright N / A Yes . Shower yes NO Spouse tak care of Medicine</t>
  </si>
  <si>
    <t xml:space="preserve">Own.</t>
  </si>
  <si>
    <t xml:space="preserve">Feb , 11 2026 Feb. 9 2026 + Mona A. Katheryn LD 5/13/1938 Dizon</t>
  </si>
  <si>
    <t xml:space="preserve">5/13/1938</t>
  </si>
  <si>
    <t xml:space="preserve">Feb , 11 2026</t>
  </si>
  <si>
    <t xml:space="preserve">Feb, 11 2026</t>
  </si>
  <si>
    <t xml:space="preserve">N / A Feb , 11 2026 Feb. 9 2026 + Mona A. Katheryn LD 5/13/1938 Dizon</t>
  </si>
  <si>
    <t xml:space="preserve">Feb , 11 2026 Feb. 9 2026 + Mona A. Katheryn LD Dizon</t>
  </si>
  <si>
    <t xml:space="preserve">Katheryn L. Dixon</t>
  </si>
  <si>
    <t xml:space="preserve">Feb , 11 2026 Feb. 9 2026 + Mona A.</t>
  </si>
  <si>
    <t xml:space="preserve">Mona A.</t>
  </si>
  <si>
    <t xml:space="preserve">Feb , 11 2026 Feb. 9 2026 +</t>
  </si>
  <si>
    <t xml:space="preserve">Feb, 9 2026</t>
  </si>
  <si>
    <t xml:space="preserve">Lianna_Arakelyan-_Completed_In_home_assessment.pdf</t>
  </si>
  <si>
    <t xml:space="preserve">1717 garfield PL APT 223 , LACA</t>
  </si>
  <si>
    <t xml:space="preserve">1717 garfield PL APT 227, LA CA 90028</t>
  </si>
  <si>
    <t xml:space="preserve">90023 Alina ( daughter )</t>
  </si>
  <si>
    <t xml:space="preserve">Alina (daughter)</t>
  </si>
  <si>
    <t xml:space="preserve">GU26UH 5UNSI</t>
  </si>
  <si>
    <t xml:space="preserve">6U26UH SUNSI</t>
  </si>
  <si>
    <t xml:space="preserve">03/20/26 .</t>
  </si>
  <si>
    <t xml:space="preserve">03/20/26</t>
  </si>
  <si>
    <t xml:space="preserve">In_Home_Assessment_-_AvvaCare.pdf</t>
  </si>
  <si>
    <t xml:space="preserve">Yes Great attitude and will respond</t>
  </si>
  <si>
    <t xml:space="preserve">Great attitude and will respond</t>
  </si>
  <si>
    <t xml:space="preserve">Sinblian , has a great attitude and can hear you with him but he will require full supervision have great motor skills . He is able to walk but will assistance . That will also include all other . Wife is a great assistance to her husband .</t>
  </si>
  <si>
    <t xml:space="preserve">Mr. Karabit Sinblian, has a great attitude and can hear you when you speak with him but he will require full supervision as he does not have great motor skills. He is able to walk but will require stand by assistance. That will also include all other IADLS for his life. Wife is a great assistance to her husband.</t>
  </si>
  <si>
    <t xml:space="preserve">03/21/2026</t>
  </si>
  <si>
    <t xml:space="preserve">Mandatory review threshold (Gemini match rate must be ≥ this to skip review):</t>
  </si>
  <si>
    <t xml:space="preserve">Rows Spot-Checked</t>
  </si>
  <si>
    <t xml:space="preserve">Rows Reviewed So Far</t>
  </si>
  <si>
    <t xml:space="preserve">Gemini Match Rate</t>
  </si>
  <si>
    <t xml:space="preserve">Cloud Vision Match Rate</t>
  </si>
  <si>
    <t xml:space="preserve">Mandatory Review?</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</si>
</sst>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0"/>
      <color rgb="FFFFFFFF"/>
      <name val="Arial"/>
      <family val="0"/>
      <charset val="1"/>
    </font>
    <font>
      <sz val="10"/>
      <name val="Arial"/>
      <family val="0"/>
      <charset val="1"/>
    </font>
    <font>
      <sz val="10"/>
      <name val="Noto Sans CJK SC"/>
      <family val="2"/>
    </font>
    <font>
      <b val="true"/>
      <sz val="11"/>
      <color rgb="FFC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5" fontId="10" fillId="3"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0"/>
  </cols>
  <sheetData>
    <row r="2" customFormat="false" ht="17.35" hidden="false" customHeight="false" outlineLevel="0" collapsed="false">
      <c r="B2" s="1" t="s">
        <v>0</v>
      </c>
    </row>
    <row r="3" customFormat="false" ht="15" hidden="false" customHeight="false" outlineLevel="0" collapsed="false">
      <c r="B3" s="2"/>
    </row>
    <row r="4" customFormat="false" ht="15" hidden="false" customHeight="false" outlineLevel="0" collapsed="false">
      <c r="B4" s="3" t="s">
        <v>1</v>
      </c>
    </row>
    <row r="5" customFormat="false" ht="26.85" hidden="false" customHeight="false" outlineLevel="0" collapsed="false">
      <c r="B5" s="2" t="s">
        <v>2</v>
      </c>
    </row>
    <row r="6" customFormat="false" ht="15" hidden="false" customHeight="false" outlineLevel="0" collapsed="false">
      <c r="B6" s="2"/>
    </row>
    <row r="7" customFormat="false" ht="15" hidden="false" customHeight="false" outlineLevel="0" collapsed="false">
      <c r="B7" s="3" t="s">
        <v>3</v>
      </c>
    </row>
    <row r="8" customFormat="false" ht="26.85" hidden="false" customHeight="false" outlineLevel="0" collapsed="false">
      <c r="B8" s="2" t="s">
        <v>4</v>
      </c>
    </row>
    <row r="9" customFormat="false" ht="15" hidden="false" customHeight="false" outlineLevel="0" collapsed="false">
      <c r="B9" s="2"/>
    </row>
    <row r="10" customFormat="false" ht="15" hidden="false" customHeight="false" outlineLevel="0" collapsed="false">
      <c r="B10" s="3" t="s">
        <v>5</v>
      </c>
    </row>
    <row r="11" customFormat="false" ht="15" hidden="false" customHeight="false" outlineLevel="0" collapsed="false">
      <c r="B11" s="2" t="s">
        <v>6</v>
      </c>
    </row>
    <row r="12" customFormat="false" ht="15" hidden="false" customHeight="false" outlineLevel="0" collapsed="false">
      <c r="B12" s="2" t="s">
        <v>7</v>
      </c>
    </row>
    <row r="13" customFormat="false" ht="15" hidden="false" customHeight="false" outlineLevel="0" collapsed="false">
      <c r="B13" s="2" t="s">
        <v>8</v>
      </c>
    </row>
    <row r="14" customFormat="false" ht="15" hidden="false" customHeight="false" outlineLevel="0" collapsed="false">
      <c r="B14" s="2" t="s">
        <v>9</v>
      </c>
    </row>
    <row r="15" customFormat="false" ht="15" hidden="false" customHeight="false" outlineLevel="0" collapsed="false">
      <c r="B15" s="2"/>
    </row>
    <row r="16" customFormat="false" ht="15" hidden="false" customHeight="false" outlineLevel="0" collapsed="false">
      <c r="B16" s="3" t="s">
        <v>10</v>
      </c>
    </row>
    <row r="17" customFormat="false" ht="26.85" hidden="false" customHeight="false" outlineLevel="0" collapsed="false">
      <c r="B17" s="2" t="s">
        <v>11</v>
      </c>
    </row>
    <row r="18" customFormat="false" ht="15" hidden="false" customHeight="false" outlineLevel="0" collapsed="false">
      <c r="B18" s="2"/>
    </row>
    <row r="19" customFormat="false" ht="15" hidden="false" customHeight="false" outlineLevel="0" collapsed="false">
      <c r="B19" s="3" t="s">
        <v>12</v>
      </c>
    </row>
    <row r="20" customFormat="false" ht="26.85" hidden="false" customHeight="false" outlineLevel="0" collapsed="false">
      <c r="B20" s="2" t="s">
        <v>13</v>
      </c>
    </row>
    <row r="21" customFormat="false" ht="26.85" hidden="false" customHeight="false" outlineLevel="0" collapsed="false">
      <c r="B21"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22"/>
    <col collapsed="false" customWidth="true" hidden="false" outlineLevel="0" max="4" min="4" style="0" width="34"/>
    <col collapsed="false" customWidth="true" hidden="false" outlineLevel="0" max="6" min="5" style="0" width="16"/>
    <col collapsed="false" customWidth="true" hidden="false" outlineLevel="0" max="7" min="7" style="0" width="20"/>
    <col collapsed="false" customWidth="true" hidden="false" outlineLevel="0" max="8" min="8" style="0" width="13"/>
    <col collapsed="false" customWidth="true" hidden="false" outlineLevel="0" max="9" min="9" style="0" width="15"/>
    <col collapsed="false" customWidth="true" hidden="false" outlineLevel="0" max="10" min="10" style="0" width="28"/>
  </cols>
  <sheetData>
    <row r="1" customFormat="false" ht="23.85" hidden="false" customHeight="false" outlineLevel="0" collapsed="false">
      <c r="A1" s="4" t="s">
        <v>15</v>
      </c>
      <c r="B1" s="4" t="s">
        <v>16</v>
      </c>
      <c r="C1" s="4" t="s">
        <v>17</v>
      </c>
      <c r="D1" s="4" t="s">
        <v>18</v>
      </c>
      <c r="E1" s="4" t="s">
        <v>19</v>
      </c>
      <c r="F1" s="4" t="s">
        <v>20</v>
      </c>
      <c r="G1" s="4" t="s">
        <v>21</v>
      </c>
      <c r="H1" s="4" t="s">
        <v>22</v>
      </c>
      <c r="I1" s="4" t="s">
        <v>23</v>
      </c>
      <c r="J1" s="4" t="s">
        <v>24</v>
      </c>
    </row>
    <row r="2" customFormat="false" ht="23.85" hidden="false" customHeight="false" outlineLevel="0" collapsed="false">
      <c r="A2" s="5" t="s">
        <v>25</v>
      </c>
      <c r="B2" s="5" t="s">
        <v>26</v>
      </c>
      <c r="C2" s="5" t="s">
        <v>27</v>
      </c>
      <c r="D2" s="6" t="s">
        <v>28</v>
      </c>
      <c r="E2" s="5"/>
      <c r="F2" s="5" t="s">
        <v>29</v>
      </c>
      <c r="G2" s="7"/>
      <c r="H2" s="5" t="str">
        <f aca="false">IF($G2="","",IF(LOWER(TRIM($G2))=LOWER(TRIM($F2)),"Match","Mismatch"))</f>
        <v/>
      </c>
      <c r="I2" s="5" t="str">
        <f aca="false">IF($G2="","",IF(LOWER(TRIM($G2))=LOWER(TRIM($E2)),"Match","Mismatch"))</f>
        <v/>
      </c>
      <c r="J2" s="6"/>
    </row>
    <row r="3" customFormat="false" ht="23.85" hidden="false" customHeight="false" outlineLevel="0" collapsed="false">
      <c r="A3" s="5" t="s">
        <v>25</v>
      </c>
      <c r="B3" s="5" t="s">
        <v>26</v>
      </c>
      <c r="C3" s="5" t="s">
        <v>27</v>
      </c>
      <c r="D3" s="6" t="s">
        <v>30</v>
      </c>
      <c r="E3" s="5"/>
      <c r="F3" s="5" t="s">
        <v>31</v>
      </c>
      <c r="G3" s="7"/>
      <c r="H3" s="5" t="str">
        <f aca="false">IF($G3="","",IF(LOWER(TRIM($G3))=LOWER(TRIM($F3)),"Match","Mismatch"))</f>
        <v/>
      </c>
      <c r="I3" s="5" t="str">
        <f aca="false">IF($G3="","",IF(LOWER(TRIM($G3))=LOWER(TRIM($E3)),"Match","Mismatch"))</f>
        <v/>
      </c>
      <c r="J3" s="6"/>
    </row>
    <row r="4" customFormat="false" ht="35.05" hidden="false" customHeight="false" outlineLevel="0" collapsed="false">
      <c r="A4" s="5" t="s">
        <v>25</v>
      </c>
      <c r="B4" s="5" t="s">
        <v>26</v>
      </c>
      <c r="C4" s="5" t="s">
        <v>27</v>
      </c>
      <c r="D4" s="6" t="s">
        <v>32</v>
      </c>
      <c r="E4" s="5"/>
      <c r="F4" s="5" t="s">
        <v>31</v>
      </c>
      <c r="G4" s="7"/>
      <c r="H4" s="5" t="str">
        <f aca="false">IF($G4="","",IF(LOWER(TRIM($G4))=LOWER(TRIM($F4)),"Match","Mismatch"))</f>
        <v/>
      </c>
      <c r="I4" s="5" t="str">
        <f aca="false">IF($G4="","",IF(LOWER(TRIM($G4))=LOWER(TRIM($E4)),"Match","Mismatch"))</f>
        <v/>
      </c>
      <c r="J4" s="6"/>
    </row>
    <row r="5" customFormat="false" ht="35.05" hidden="false" customHeight="false" outlineLevel="0" collapsed="false">
      <c r="A5" s="5" t="s">
        <v>25</v>
      </c>
      <c r="B5" s="5" t="s">
        <v>26</v>
      </c>
      <c r="C5" s="5" t="s">
        <v>27</v>
      </c>
      <c r="D5" s="6" t="s">
        <v>33</v>
      </c>
      <c r="E5" s="5"/>
      <c r="F5" s="5" t="s">
        <v>29</v>
      </c>
      <c r="G5" s="7"/>
      <c r="H5" s="5" t="str">
        <f aca="false">IF($G5="","",IF(LOWER(TRIM($G5))=LOWER(TRIM($F5)),"Match","Mismatch"))</f>
        <v/>
      </c>
      <c r="I5" s="5" t="str">
        <f aca="false">IF($G5="","",IF(LOWER(TRIM($G5))=LOWER(TRIM($E5)),"Match","Mismatch"))</f>
        <v/>
      </c>
      <c r="J5" s="6"/>
    </row>
    <row r="6" customFormat="false" ht="23.85" hidden="false" customHeight="false" outlineLevel="0" collapsed="false">
      <c r="A6" s="5" t="s">
        <v>25</v>
      </c>
      <c r="B6" s="5" t="s">
        <v>26</v>
      </c>
      <c r="C6" s="5" t="s">
        <v>27</v>
      </c>
      <c r="D6" s="6" t="s">
        <v>34</v>
      </c>
      <c r="E6" s="5"/>
      <c r="F6" s="5" t="s">
        <v>31</v>
      </c>
      <c r="G6" s="7"/>
      <c r="H6" s="5" t="str">
        <f aca="false">IF($G6="","",IF(LOWER(TRIM($G6))=LOWER(TRIM($F6)),"Match","Mismatch"))</f>
        <v/>
      </c>
      <c r="I6" s="5" t="str">
        <f aca="false">IF($G6="","",IF(LOWER(TRIM($G6))=LOWER(TRIM($E6)),"Match","Mismatch"))</f>
        <v/>
      </c>
      <c r="J6" s="6"/>
    </row>
    <row r="7" customFormat="false" ht="15" hidden="false" customHeight="false" outlineLevel="0" collapsed="false">
      <c r="A7" s="5" t="s">
        <v>25</v>
      </c>
      <c r="B7" s="5" t="s">
        <v>26</v>
      </c>
      <c r="C7" s="5" t="s">
        <v>27</v>
      </c>
      <c r="D7" s="6" t="s">
        <v>35</v>
      </c>
      <c r="E7" s="5"/>
      <c r="F7" s="5" t="s">
        <v>36</v>
      </c>
      <c r="G7" s="7"/>
      <c r="H7" s="5" t="str">
        <f aca="false">IF($G7="","",IF(LOWER(TRIM($G7))=LOWER(TRIM($F7)),"Match","Mismatch"))</f>
        <v/>
      </c>
      <c r="I7" s="5" t="str">
        <f aca="false">IF($G7="","",IF(LOWER(TRIM($G7))=LOWER(TRIM($E7)),"Match","Mismatch"))</f>
        <v/>
      </c>
      <c r="J7" s="6"/>
    </row>
    <row r="8" customFormat="false" ht="23.85" hidden="false" customHeight="false" outlineLevel="0" collapsed="false">
      <c r="A8" s="5" t="s">
        <v>25</v>
      </c>
      <c r="B8" s="5" t="s">
        <v>26</v>
      </c>
      <c r="C8" s="5" t="s">
        <v>27</v>
      </c>
      <c r="D8" s="6" t="s">
        <v>37</v>
      </c>
      <c r="E8" s="5"/>
      <c r="F8" s="5" t="s">
        <v>31</v>
      </c>
      <c r="G8" s="7"/>
      <c r="H8" s="5" t="str">
        <f aca="false">IF($G8="","",IF(LOWER(TRIM($G8))=LOWER(TRIM($F8)),"Match","Mismatch"))</f>
        <v/>
      </c>
      <c r="I8" s="5" t="str">
        <f aca="false">IF($G8="","",IF(LOWER(TRIM($G8))=LOWER(TRIM($E8)),"Match","Mismatch"))</f>
        <v/>
      </c>
      <c r="J8" s="6"/>
    </row>
    <row r="9" customFormat="false" ht="23.85" hidden="false" customHeight="false" outlineLevel="0" collapsed="false">
      <c r="A9" s="5" t="s">
        <v>25</v>
      </c>
      <c r="B9" s="5" t="s">
        <v>26</v>
      </c>
      <c r="C9" s="5" t="s">
        <v>27</v>
      </c>
      <c r="D9" s="6" t="s">
        <v>38</v>
      </c>
      <c r="E9" s="5"/>
      <c r="F9" s="5" t="s">
        <v>31</v>
      </c>
      <c r="G9" s="7"/>
      <c r="H9" s="5" t="str">
        <f aca="false">IF($G9="","",IF(LOWER(TRIM($G9))=LOWER(TRIM($F9)),"Match","Mismatch"))</f>
        <v/>
      </c>
      <c r="I9" s="5" t="str">
        <f aca="false">IF($G9="","",IF(LOWER(TRIM($G9))=LOWER(TRIM($E9)),"Match","Mismatch"))</f>
        <v/>
      </c>
      <c r="J9" s="6"/>
    </row>
    <row r="10" customFormat="false" ht="15" hidden="false" customHeight="false" outlineLevel="0" collapsed="false">
      <c r="A10" s="5" t="s">
        <v>25</v>
      </c>
      <c r="B10" s="5" t="s">
        <v>26</v>
      </c>
      <c r="C10" s="5" t="s">
        <v>39</v>
      </c>
      <c r="D10" s="6" t="s">
        <v>40</v>
      </c>
      <c r="E10" s="5"/>
      <c r="F10" s="5" t="s">
        <v>41</v>
      </c>
      <c r="G10" s="7"/>
      <c r="H10" s="5" t="str">
        <f aca="false">IF($G10="","",IF(LOWER(TRIM($G10))=LOWER(TRIM($F10)),"Match","Mismatch"))</f>
        <v/>
      </c>
      <c r="I10" s="5" t="str">
        <f aca="false">IF($G10="","",IF(LOWER(TRIM($G10))=LOWER(TRIM($E10)),"Match","Mismatch"))</f>
        <v/>
      </c>
      <c r="J10" s="6"/>
    </row>
    <row r="11" customFormat="false" ht="23.85" hidden="false" customHeight="false" outlineLevel="0" collapsed="false">
      <c r="A11" s="5" t="s">
        <v>25</v>
      </c>
      <c r="B11" s="5" t="s">
        <v>26</v>
      </c>
      <c r="C11" s="5" t="s">
        <v>39</v>
      </c>
      <c r="D11" s="6" t="s">
        <v>42</v>
      </c>
      <c r="E11" s="5"/>
      <c r="F11" s="5" t="s">
        <v>43</v>
      </c>
      <c r="G11" s="7"/>
      <c r="H11" s="5" t="str">
        <f aca="false">IF($G11="","",IF(LOWER(TRIM($G11))=LOWER(TRIM($F11)),"Match","Mismatch"))</f>
        <v/>
      </c>
      <c r="I11" s="5" t="str">
        <f aca="false">IF($G11="","",IF(LOWER(TRIM($G11))=LOWER(TRIM($E11)),"Match","Mismatch"))</f>
        <v/>
      </c>
      <c r="J11" s="6"/>
    </row>
    <row r="12" customFormat="false" ht="23.85" hidden="false" customHeight="false" outlineLevel="0" collapsed="false">
      <c r="A12" s="5" t="s">
        <v>25</v>
      </c>
      <c r="B12" s="5" t="s">
        <v>26</v>
      </c>
      <c r="C12" s="5" t="s">
        <v>39</v>
      </c>
      <c r="D12" s="6" t="s">
        <v>44</v>
      </c>
      <c r="E12" s="5"/>
      <c r="F12" s="5" t="s">
        <v>41</v>
      </c>
      <c r="G12" s="7"/>
      <c r="H12" s="5" t="str">
        <f aca="false">IF($G12="","",IF(LOWER(TRIM($G12))=LOWER(TRIM($F12)),"Match","Mismatch"))</f>
        <v/>
      </c>
      <c r="I12" s="5" t="str">
        <f aca="false">IF($G12="","",IF(LOWER(TRIM($G12))=LOWER(TRIM($E12)),"Match","Mismatch"))</f>
        <v/>
      </c>
      <c r="J12" s="6"/>
    </row>
    <row r="13" customFormat="false" ht="15" hidden="false" customHeight="false" outlineLevel="0" collapsed="false">
      <c r="A13" s="5" t="s">
        <v>25</v>
      </c>
      <c r="B13" s="5" t="s">
        <v>26</v>
      </c>
      <c r="C13" s="5" t="s">
        <v>39</v>
      </c>
      <c r="D13" s="6" t="s">
        <v>45</v>
      </c>
      <c r="E13" s="5"/>
      <c r="F13" s="5" t="s">
        <v>46</v>
      </c>
      <c r="G13" s="7"/>
      <c r="H13" s="5" t="str">
        <f aca="false">IF($G13="","",IF(LOWER(TRIM($G13))=LOWER(TRIM($F13)),"Match","Mismatch"))</f>
        <v/>
      </c>
      <c r="I13" s="5" t="str">
        <f aca="false">IF($G13="","",IF(LOWER(TRIM($G13))=LOWER(TRIM($E13)),"Match","Mismatch"))</f>
        <v/>
      </c>
      <c r="J13" s="6"/>
    </row>
    <row r="14" customFormat="false" ht="15" hidden="false" customHeight="false" outlineLevel="0" collapsed="false">
      <c r="A14" s="5" t="s">
        <v>25</v>
      </c>
      <c r="B14" s="5" t="s">
        <v>26</v>
      </c>
      <c r="C14" s="5" t="s">
        <v>39</v>
      </c>
      <c r="D14" s="6" t="s">
        <v>47</v>
      </c>
      <c r="E14" s="5"/>
      <c r="F14" s="5" t="s">
        <v>43</v>
      </c>
      <c r="G14" s="7"/>
      <c r="H14" s="5" t="str">
        <f aca="false">IF($G14="","",IF(LOWER(TRIM($G14))=LOWER(TRIM($F14)),"Match","Mismatch"))</f>
        <v/>
      </c>
      <c r="I14" s="5" t="str">
        <f aca="false">IF($G14="","",IF(LOWER(TRIM($G14))=LOWER(TRIM($E14)),"Match","Mismatch"))</f>
        <v/>
      </c>
      <c r="J14" s="6"/>
    </row>
    <row r="15" customFormat="false" ht="15" hidden="false" customHeight="false" outlineLevel="0" collapsed="false">
      <c r="A15" s="5" t="s">
        <v>25</v>
      </c>
      <c r="B15" s="5" t="s">
        <v>26</v>
      </c>
      <c r="C15" s="5" t="s">
        <v>39</v>
      </c>
      <c r="D15" s="6" t="s">
        <v>48</v>
      </c>
      <c r="E15" s="5"/>
      <c r="F15" s="5" t="s">
        <v>41</v>
      </c>
      <c r="G15" s="7"/>
      <c r="H15" s="5" t="str">
        <f aca="false">IF($G15="","",IF(LOWER(TRIM($G15))=LOWER(TRIM($F15)),"Match","Mismatch"))</f>
        <v/>
      </c>
      <c r="I15" s="5" t="str">
        <f aca="false">IF($G15="","",IF(LOWER(TRIM($G15))=LOWER(TRIM($E15)),"Match","Mismatch"))</f>
        <v/>
      </c>
      <c r="J15" s="6"/>
    </row>
    <row r="16" customFormat="false" ht="15" hidden="false" customHeight="false" outlineLevel="0" collapsed="false">
      <c r="A16" s="5" t="s">
        <v>25</v>
      </c>
      <c r="B16" s="5" t="s">
        <v>26</v>
      </c>
      <c r="C16" s="5" t="s">
        <v>39</v>
      </c>
      <c r="D16" s="6" t="s">
        <v>49</v>
      </c>
      <c r="E16" s="5"/>
      <c r="F16" s="5" t="s">
        <v>41</v>
      </c>
      <c r="G16" s="7"/>
      <c r="H16" s="5" t="str">
        <f aca="false">IF($G16="","",IF(LOWER(TRIM($G16))=LOWER(TRIM($F16)),"Match","Mismatch"))</f>
        <v/>
      </c>
      <c r="I16" s="5" t="str">
        <f aca="false">IF($G16="","",IF(LOWER(TRIM($G16))=LOWER(TRIM($E16)),"Match","Mismatch"))</f>
        <v/>
      </c>
      <c r="J16" s="6"/>
    </row>
    <row r="17" customFormat="false" ht="23.85" hidden="false" customHeight="false" outlineLevel="0" collapsed="false">
      <c r="A17" s="5" t="s">
        <v>25</v>
      </c>
      <c r="B17" s="5" t="s">
        <v>26</v>
      </c>
      <c r="C17" s="5" t="s">
        <v>39</v>
      </c>
      <c r="D17" s="6" t="s">
        <v>50</v>
      </c>
      <c r="E17" s="5"/>
      <c r="F17" s="5" t="s">
        <v>41</v>
      </c>
      <c r="G17" s="7"/>
      <c r="H17" s="5" t="str">
        <f aca="false">IF($G17="","",IF(LOWER(TRIM($G17))=LOWER(TRIM($F17)),"Match","Mismatch"))</f>
        <v/>
      </c>
      <c r="I17" s="5" t="str">
        <f aca="false">IF($G17="","",IF(LOWER(TRIM($G17))=LOWER(TRIM($E17)),"Match","Mismatch"))</f>
        <v/>
      </c>
      <c r="J17" s="6"/>
    </row>
    <row r="18" customFormat="false" ht="15" hidden="false" customHeight="false" outlineLevel="0" collapsed="false">
      <c r="A18" s="5" t="s">
        <v>25</v>
      </c>
      <c r="B18" s="5" t="s">
        <v>26</v>
      </c>
      <c r="C18" s="5" t="s">
        <v>39</v>
      </c>
      <c r="D18" s="6" t="s">
        <v>51</v>
      </c>
      <c r="E18" s="5"/>
      <c r="F18" s="5" t="s">
        <v>41</v>
      </c>
      <c r="G18" s="7"/>
      <c r="H18" s="5" t="str">
        <f aca="false">IF($G18="","",IF(LOWER(TRIM($G18))=LOWER(TRIM($F18)),"Match","Mismatch"))</f>
        <v/>
      </c>
      <c r="I18" s="5" t="str">
        <f aca="false">IF($G18="","",IF(LOWER(TRIM($G18))=LOWER(TRIM($E18)),"Match","Mismatch"))</f>
        <v/>
      </c>
      <c r="J18" s="6"/>
    </row>
    <row r="19" customFormat="false" ht="15" hidden="false" customHeight="false" outlineLevel="0" collapsed="false">
      <c r="A19" s="5" t="s">
        <v>25</v>
      </c>
      <c r="B19" s="5" t="s">
        <v>26</v>
      </c>
      <c r="C19" s="5" t="s">
        <v>39</v>
      </c>
      <c r="D19" s="6" t="s">
        <v>52</v>
      </c>
      <c r="E19" s="5"/>
      <c r="F19" s="5" t="s">
        <v>41</v>
      </c>
      <c r="G19" s="7"/>
      <c r="H19" s="5" t="str">
        <f aca="false">IF($G19="","",IF(LOWER(TRIM($G19))=LOWER(TRIM($F19)),"Match","Mismatch"))</f>
        <v/>
      </c>
      <c r="I19" s="5" t="str">
        <f aca="false">IF($G19="","",IF(LOWER(TRIM($G19))=LOWER(TRIM($E19)),"Match","Mismatch"))</f>
        <v/>
      </c>
      <c r="J19" s="6"/>
    </row>
    <row r="20" customFormat="false" ht="15" hidden="false" customHeight="false" outlineLevel="0" collapsed="false">
      <c r="A20" s="5" t="s">
        <v>25</v>
      </c>
      <c r="B20" s="5" t="s">
        <v>26</v>
      </c>
      <c r="C20" s="5" t="s">
        <v>39</v>
      </c>
      <c r="D20" s="6" t="s">
        <v>53</v>
      </c>
      <c r="E20" s="5"/>
      <c r="F20" s="5" t="s">
        <v>41</v>
      </c>
      <c r="G20" s="7"/>
      <c r="H20" s="5" t="str">
        <f aca="false">IF($G20="","",IF(LOWER(TRIM($G20))=LOWER(TRIM($F20)),"Match","Mismatch"))</f>
        <v/>
      </c>
      <c r="I20" s="5" t="str">
        <f aca="false">IF($G20="","",IF(LOWER(TRIM($G20))=LOWER(TRIM($E20)),"Match","Mismatch"))</f>
        <v/>
      </c>
      <c r="J20" s="6"/>
    </row>
    <row r="21" customFormat="false" ht="15" hidden="false" customHeight="false" outlineLevel="0" collapsed="false">
      <c r="A21" s="5" t="s">
        <v>25</v>
      </c>
      <c r="B21" s="5" t="s">
        <v>26</v>
      </c>
      <c r="C21" s="5" t="s">
        <v>39</v>
      </c>
      <c r="D21" s="6" t="s">
        <v>54</v>
      </c>
      <c r="E21" s="5"/>
      <c r="F21" s="5" t="s">
        <v>55</v>
      </c>
      <c r="G21" s="7"/>
      <c r="H21" s="5" t="str">
        <f aca="false">IF($G21="","",IF(LOWER(TRIM($G21))=LOWER(TRIM($F21)),"Match","Mismatch"))</f>
        <v/>
      </c>
      <c r="I21" s="5" t="str">
        <f aca="false">IF($G21="","",IF(LOWER(TRIM($G21))=LOWER(TRIM($E21)),"Match","Mismatch"))</f>
        <v/>
      </c>
      <c r="J21" s="6"/>
    </row>
    <row r="22" customFormat="false" ht="23.85" hidden="false" customHeight="false" outlineLevel="0" collapsed="false">
      <c r="A22" s="5" t="s">
        <v>25</v>
      </c>
      <c r="B22" s="5" t="s">
        <v>26</v>
      </c>
      <c r="C22" s="5" t="s">
        <v>39</v>
      </c>
      <c r="D22" s="6" t="s">
        <v>56</v>
      </c>
      <c r="E22" s="5"/>
      <c r="F22" s="5" t="s">
        <v>41</v>
      </c>
      <c r="G22" s="7"/>
      <c r="H22" s="5" t="str">
        <f aca="false">IF($G22="","",IF(LOWER(TRIM($G22))=LOWER(TRIM($F22)),"Match","Mismatch"))</f>
        <v/>
      </c>
      <c r="I22" s="5" t="str">
        <f aca="false">IF($G22="","",IF(LOWER(TRIM($G22))=LOWER(TRIM($E22)),"Match","Mismatch"))</f>
        <v/>
      </c>
      <c r="J22" s="6"/>
    </row>
    <row r="23" customFormat="false" ht="15" hidden="false" customHeight="false" outlineLevel="0" collapsed="false">
      <c r="A23" s="5" t="s">
        <v>25</v>
      </c>
      <c r="B23" s="5" t="s">
        <v>26</v>
      </c>
      <c r="C23" s="5" t="s">
        <v>39</v>
      </c>
      <c r="D23" s="6" t="s">
        <v>57</v>
      </c>
      <c r="E23" s="5"/>
      <c r="F23" s="5" t="s">
        <v>41</v>
      </c>
      <c r="G23" s="7"/>
      <c r="H23" s="5" t="str">
        <f aca="false">IF($G23="","",IF(LOWER(TRIM($G23))=LOWER(TRIM($F23)),"Match","Mismatch"))</f>
        <v/>
      </c>
      <c r="I23" s="5" t="str">
        <f aca="false">IF($G23="","",IF(LOWER(TRIM($G23))=LOWER(TRIM($E23)),"Match","Mismatch"))</f>
        <v/>
      </c>
      <c r="J23" s="6"/>
    </row>
    <row r="24" customFormat="false" ht="15" hidden="false" customHeight="false" outlineLevel="0" collapsed="false">
      <c r="A24" s="5" t="s">
        <v>25</v>
      </c>
      <c r="B24" s="5" t="s">
        <v>26</v>
      </c>
      <c r="C24" s="5" t="s">
        <v>39</v>
      </c>
      <c r="D24" s="6" t="s">
        <v>58</v>
      </c>
      <c r="E24" s="5"/>
      <c r="F24" s="5" t="s">
        <v>41</v>
      </c>
      <c r="G24" s="7"/>
      <c r="H24" s="5" t="str">
        <f aca="false">IF($G24="","",IF(LOWER(TRIM($G24))=LOWER(TRIM($F24)),"Match","Mismatch"))</f>
        <v/>
      </c>
      <c r="I24" s="5" t="str">
        <f aca="false">IF($G24="","",IF(LOWER(TRIM($G24))=LOWER(TRIM($E24)),"Match","Mismatch"))</f>
        <v/>
      </c>
      <c r="J24" s="6"/>
    </row>
    <row r="25" customFormat="false" ht="15" hidden="false" customHeight="false" outlineLevel="0" collapsed="false">
      <c r="A25" s="5" t="s">
        <v>25</v>
      </c>
      <c r="B25" s="5" t="s">
        <v>26</v>
      </c>
      <c r="C25" s="5" t="s">
        <v>59</v>
      </c>
      <c r="D25" s="6" t="s">
        <v>60</v>
      </c>
      <c r="E25" s="5"/>
      <c r="F25" s="5" t="s">
        <v>29</v>
      </c>
      <c r="G25" s="7"/>
      <c r="H25" s="5" t="str">
        <f aca="false">IF($G25="","",IF(LOWER(TRIM($G25))=LOWER(TRIM($F25)),"Match","Mismatch"))</f>
        <v/>
      </c>
      <c r="I25" s="5" t="str">
        <f aca="false">IF($G25="","",IF(LOWER(TRIM($G25))=LOWER(TRIM($E25)),"Match","Mismatch"))</f>
        <v/>
      </c>
      <c r="J25" s="6"/>
    </row>
    <row r="26" customFormat="false" ht="23.85" hidden="false" customHeight="false" outlineLevel="0" collapsed="false">
      <c r="A26" s="5" t="s">
        <v>25</v>
      </c>
      <c r="B26" s="5" t="s">
        <v>26</v>
      </c>
      <c r="C26" s="5" t="s">
        <v>59</v>
      </c>
      <c r="D26" s="6" t="s">
        <v>61</v>
      </c>
      <c r="E26" s="5"/>
      <c r="F26" s="5" t="s">
        <v>31</v>
      </c>
      <c r="G26" s="7"/>
      <c r="H26" s="5" t="str">
        <f aca="false">IF($G26="","",IF(LOWER(TRIM($G26))=LOWER(TRIM($F26)),"Match","Mismatch"))</f>
        <v/>
      </c>
      <c r="I26" s="5" t="str">
        <f aca="false">IF($G26="","",IF(LOWER(TRIM($G26))=LOWER(TRIM($E26)),"Match","Mismatch"))</f>
        <v/>
      </c>
      <c r="J26" s="6"/>
    </row>
    <row r="27" customFormat="false" ht="15" hidden="false" customHeight="false" outlineLevel="0" collapsed="false">
      <c r="A27" s="5" t="s">
        <v>25</v>
      </c>
      <c r="B27" s="5" t="s">
        <v>26</v>
      </c>
      <c r="C27" s="5" t="s">
        <v>59</v>
      </c>
      <c r="D27" s="6" t="s">
        <v>62</v>
      </c>
      <c r="E27" s="5"/>
      <c r="F27" s="5" t="s">
        <v>31</v>
      </c>
      <c r="G27" s="7"/>
      <c r="H27" s="5" t="str">
        <f aca="false">IF($G27="","",IF(LOWER(TRIM($G27))=LOWER(TRIM($F27)),"Match","Mismatch"))</f>
        <v/>
      </c>
      <c r="I27" s="5" t="str">
        <f aca="false">IF($G27="","",IF(LOWER(TRIM($G27))=LOWER(TRIM($E27)),"Match","Mismatch"))</f>
        <v/>
      </c>
      <c r="J27" s="6"/>
    </row>
    <row r="28" customFormat="false" ht="15" hidden="false" customHeight="false" outlineLevel="0" collapsed="false">
      <c r="A28" s="5" t="s">
        <v>25</v>
      </c>
      <c r="B28" s="5" t="s">
        <v>26</v>
      </c>
      <c r="C28" s="5" t="s">
        <v>59</v>
      </c>
      <c r="D28" s="6" t="s">
        <v>63</v>
      </c>
      <c r="E28" s="5"/>
      <c r="F28" s="5" t="s">
        <v>64</v>
      </c>
      <c r="G28" s="7"/>
      <c r="H28" s="5" t="str">
        <f aca="false">IF($G28="","",IF(LOWER(TRIM($G28))=LOWER(TRIM($F28)),"Match","Mismatch"))</f>
        <v/>
      </c>
      <c r="I28" s="5" t="str">
        <f aca="false">IF($G28="","",IF(LOWER(TRIM($G28))=LOWER(TRIM($E28)),"Match","Mismatch"))</f>
        <v/>
      </c>
      <c r="J28" s="6"/>
    </row>
    <row r="29" customFormat="false" ht="23.85" hidden="false" customHeight="false" outlineLevel="0" collapsed="false">
      <c r="A29" s="5" t="s">
        <v>25</v>
      </c>
      <c r="B29" s="5" t="s">
        <v>26</v>
      </c>
      <c r="C29" s="5" t="s">
        <v>59</v>
      </c>
      <c r="D29" s="6" t="s">
        <v>65</v>
      </c>
      <c r="E29" s="5"/>
      <c r="F29" s="5" t="s">
        <v>29</v>
      </c>
      <c r="G29" s="7"/>
      <c r="H29" s="5" t="str">
        <f aca="false">IF($G29="","",IF(LOWER(TRIM($G29))=LOWER(TRIM($F29)),"Match","Mismatch"))</f>
        <v/>
      </c>
      <c r="I29" s="5" t="str">
        <f aca="false">IF($G29="","",IF(LOWER(TRIM($G29))=LOWER(TRIM($E29)),"Match","Mismatch"))</f>
        <v/>
      </c>
      <c r="J29" s="6"/>
    </row>
    <row r="30" customFormat="false" ht="23.85" hidden="false" customHeight="false" outlineLevel="0" collapsed="false">
      <c r="A30" s="5" t="s">
        <v>25</v>
      </c>
      <c r="B30" s="5" t="s">
        <v>26</v>
      </c>
      <c r="C30" s="5" t="s">
        <v>59</v>
      </c>
      <c r="D30" s="6" t="s">
        <v>66</v>
      </c>
      <c r="E30" s="5"/>
      <c r="F30" s="5" t="s">
        <v>29</v>
      </c>
      <c r="G30" s="7"/>
      <c r="H30" s="5" t="str">
        <f aca="false">IF($G30="","",IF(LOWER(TRIM($G30))=LOWER(TRIM($F30)),"Match","Mismatch"))</f>
        <v/>
      </c>
      <c r="I30" s="5" t="str">
        <f aca="false">IF($G30="","",IF(LOWER(TRIM($G30))=LOWER(TRIM($E30)),"Match","Mismatch"))</f>
        <v/>
      </c>
      <c r="J30" s="6"/>
    </row>
    <row r="31" customFormat="false" ht="15" hidden="false" customHeight="false" outlineLevel="0" collapsed="false">
      <c r="A31" s="5" t="s">
        <v>25</v>
      </c>
      <c r="B31" s="5" t="s">
        <v>26</v>
      </c>
      <c r="C31" s="5" t="s">
        <v>67</v>
      </c>
      <c r="D31" s="6" t="s">
        <v>68</v>
      </c>
      <c r="E31" s="5"/>
      <c r="F31" s="5" t="s">
        <v>69</v>
      </c>
      <c r="G31" s="7"/>
      <c r="H31" s="5" t="str">
        <f aca="false">IF($G31="","",IF(LOWER(TRIM($G31))=LOWER(TRIM($F31)),"Match","Mismatch"))</f>
        <v/>
      </c>
      <c r="I31" s="5" t="str">
        <f aca="false">IF($G31="","",IF(LOWER(TRIM($G31))=LOWER(TRIM($E31)),"Match","Mismatch"))</f>
        <v/>
      </c>
      <c r="J31" s="6"/>
    </row>
    <row r="32" customFormat="false" ht="15" hidden="false" customHeight="false" outlineLevel="0" collapsed="false">
      <c r="A32" s="5" t="s">
        <v>25</v>
      </c>
      <c r="B32" s="5" t="s">
        <v>26</v>
      </c>
      <c r="C32" s="5" t="s">
        <v>70</v>
      </c>
      <c r="D32" s="6" t="s">
        <v>71</v>
      </c>
      <c r="E32" s="5"/>
      <c r="F32" s="5" t="s">
        <v>72</v>
      </c>
      <c r="G32" s="7"/>
      <c r="H32" s="5" t="str">
        <f aca="false">IF($G32="","",IF(LOWER(TRIM($G32))=LOWER(TRIM($F32)),"Match","Mismatch"))</f>
        <v/>
      </c>
      <c r="I32" s="5" t="str">
        <f aca="false">IF($G32="","",IF(LOWER(TRIM($G32))=LOWER(TRIM($E32)),"Match","Mismatch"))</f>
        <v/>
      </c>
      <c r="J32" s="6"/>
    </row>
    <row r="33" customFormat="false" ht="15" hidden="false" customHeight="false" outlineLevel="0" collapsed="false">
      <c r="A33" s="5" t="s">
        <v>25</v>
      </c>
      <c r="B33" s="5" t="s">
        <v>26</v>
      </c>
      <c r="C33" s="5" t="s">
        <v>70</v>
      </c>
      <c r="D33" s="6" t="s">
        <v>73</v>
      </c>
      <c r="E33" s="5"/>
      <c r="F33" s="5" t="s">
        <v>74</v>
      </c>
      <c r="G33" s="7"/>
      <c r="H33" s="5" t="str">
        <f aca="false">IF($G33="","",IF(LOWER(TRIM($G33))=LOWER(TRIM($F33)),"Match","Mismatch"))</f>
        <v/>
      </c>
      <c r="I33" s="5" t="str">
        <f aca="false">IF($G33="","",IF(LOWER(TRIM($G33))=LOWER(TRIM($E33)),"Match","Mismatch"))</f>
        <v/>
      </c>
      <c r="J33" s="6"/>
    </row>
    <row r="34" customFormat="false" ht="15" hidden="false" customHeight="false" outlineLevel="0" collapsed="false">
      <c r="A34" s="5" t="s">
        <v>25</v>
      </c>
      <c r="B34" s="5" t="s">
        <v>26</v>
      </c>
      <c r="C34" s="5" t="s">
        <v>70</v>
      </c>
      <c r="D34" s="6" t="s">
        <v>75</v>
      </c>
      <c r="E34" s="5"/>
      <c r="F34" s="5" t="s">
        <v>76</v>
      </c>
      <c r="G34" s="7"/>
      <c r="H34" s="5" t="str">
        <f aca="false">IF($G34="","",IF(LOWER(TRIM($G34))=LOWER(TRIM($F34)),"Match","Mismatch"))</f>
        <v/>
      </c>
      <c r="I34" s="5" t="str">
        <f aca="false">IF($G34="","",IF(LOWER(TRIM($G34))=LOWER(TRIM($E34)),"Match","Mismatch"))</f>
        <v/>
      </c>
      <c r="J34" s="6"/>
    </row>
    <row r="35" customFormat="false" ht="15" hidden="false" customHeight="false" outlineLevel="0" collapsed="false">
      <c r="A35" s="5" t="s">
        <v>25</v>
      </c>
      <c r="B35" s="5" t="s">
        <v>26</v>
      </c>
      <c r="C35" s="5" t="s">
        <v>70</v>
      </c>
      <c r="D35" s="6" t="s">
        <v>77</v>
      </c>
      <c r="E35" s="5" t="s">
        <v>78</v>
      </c>
      <c r="F35" s="5" t="s">
        <v>79</v>
      </c>
      <c r="G35" s="7"/>
      <c r="H35" s="5" t="str">
        <f aca="false">IF($G35="","",IF(LOWER(TRIM($G35))=LOWER(TRIM($F35)),"Match","Mismatch"))</f>
        <v/>
      </c>
      <c r="I35" s="5" t="str">
        <f aca="false">IF($G35="","",IF(LOWER(TRIM($G35))=LOWER(TRIM($E35)),"Match","Mismatch"))</f>
        <v/>
      </c>
      <c r="J35" s="6"/>
    </row>
    <row r="36" customFormat="false" ht="15" hidden="false" customHeight="false" outlineLevel="0" collapsed="false">
      <c r="A36" s="5" t="s">
        <v>25</v>
      </c>
      <c r="B36" s="5" t="s">
        <v>26</v>
      </c>
      <c r="C36" s="5" t="s">
        <v>70</v>
      </c>
      <c r="D36" s="6" t="s">
        <v>80</v>
      </c>
      <c r="E36" s="5"/>
      <c r="F36" s="5" t="s">
        <v>81</v>
      </c>
      <c r="G36" s="7"/>
      <c r="H36" s="5" t="str">
        <f aca="false">IF($G36="","",IF(LOWER(TRIM($G36))=LOWER(TRIM($F36)),"Match","Mismatch"))</f>
        <v/>
      </c>
      <c r="I36" s="5" t="str">
        <f aca="false">IF($G36="","",IF(LOWER(TRIM($G36))=LOWER(TRIM($E36)),"Match","Mismatch"))</f>
        <v/>
      </c>
      <c r="J36" s="6"/>
    </row>
    <row r="37" customFormat="false" ht="15" hidden="false" customHeight="false" outlineLevel="0" collapsed="false">
      <c r="A37" s="5" t="s">
        <v>25</v>
      </c>
      <c r="B37" s="5" t="s">
        <v>26</v>
      </c>
      <c r="C37" s="5" t="s">
        <v>70</v>
      </c>
      <c r="D37" s="6" t="s">
        <v>82</v>
      </c>
      <c r="E37" s="5"/>
      <c r="F37" s="5" t="s">
        <v>83</v>
      </c>
      <c r="G37" s="7"/>
      <c r="H37" s="5" t="str">
        <f aca="false">IF($G37="","",IF(LOWER(TRIM($G37))=LOWER(TRIM($F37)),"Match","Mismatch"))</f>
        <v/>
      </c>
      <c r="I37" s="5" t="str">
        <f aca="false">IF($G37="","",IF(LOWER(TRIM($G37))=LOWER(TRIM($E37)),"Match","Mismatch"))</f>
        <v/>
      </c>
      <c r="J37" s="6"/>
    </row>
    <row r="38" customFormat="false" ht="15" hidden="false" customHeight="false" outlineLevel="0" collapsed="false">
      <c r="A38" s="5" t="s">
        <v>25</v>
      </c>
      <c r="B38" s="5" t="s">
        <v>26</v>
      </c>
      <c r="C38" s="5" t="s">
        <v>70</v>
      </c>
      <c r="D38" s="6" t="s">
        <v>84</v>
      </c>
      <c r="E38" s="5"/>
      <c r="F38" s="5" t="s">
        <v>85</v>
      </c>
      <c r="G38" s="7"/>
      <c r="H38" s="5" t="str">
        <f aca="false">IF($G38="","",IF(LOWER(TRIM($G38))=LOWER(TRIM($F38)),"Match","Mismatch"))</f>
        <v/>
      </c>
      <c r="I38" s="5" t="str">
        <f aca="false">IF($G38="","",IF(LOWER(TRIM($G38))=LOWER(TRIM($E38)),"Match","Mismatch"))</f>
        <v/>
      </c>
      <c r="J38" s="6"/>
    </row>
    <row r="39" customFormat="false" ht="15" hidden="false" customHeight="false" outlineLevel="0" collapsed="false">
      <c r="A39" s="5" t="s">
        <v>25</v>
      </c>
      <c r="B39" s="5" t="s">
        <v>26</v>
      </c>
      <c r="C39" s="5" t="s">
        <v>70</v>
      </c>
      <c r="D39" s="6" t="s">
        <v>86</v>
      </c>
      <c r="E39" s="5"/>
      <c r="F39" s="5" t="s">
        <v>87</v>
      </c>
      <c r="G39" s="7"/>
      <c r="H39" s="5" t="str">
        <f aca="false">IF($G39="","",IF(LOWER(TRIM($G39))=LOWER(TRIM($F39)),"Match","Mismatch"))</f>
        <v/>
      </c>
      <c r="I39" s="5" t="str">
        <f aca="false">IF($G39="","",IF(LOWER(TRIM($G39))=LOWER(TRIM($E39)),"Match","Mismatch"))</f>
        <v/>
      </c>
      <c r="J39" s="6"/>
    </row>
    <row r="40" customFormat="false" ht="23.85" hidden="false" customHeight="false" outlineLevel="0" collapsed="false">
      <c r="A40" s="5" t="s">
        <v>25</v>
      </c>
      <c r="B40" s="5" t="s">
        <v>88</v>
      </c>
      <c r="C40" s="5" t="s">
        <v>27</v>
      </c>
      <c r="D40" s="6" t="s">
        <v>28</v>
      </c>
      <c r="E40" s="5" t="s">
        <v>29</v>
      </c>
      <c r="F40" s="5" t="s">
        <v>31</v>
      </c>
      <c r="G40" s="7"/>
      <c r="H40" s="5" t="str">
        <f aca="false">IF($G40="","",IF(LOWER(TRIM($G40))=LOWER(TRIM($F40)),"Match","Mismatch"))</f>
        <v/>
      </c>
      <c r="I40" s="5" t="str">
        <f aca="false">IF($G40="","",IF(LOWER(TRIM($G40))=LOWER(TRIM($E40)),"Match","Mismatch"))</f>
        <v/>
      </c>
      <c r="J40" s="6"/>
    </row>
    <row r="41" customFormat="false" ht="23.85" hidden="false" customHeight="false" outlineLevel="0" collapsed="false">
      <c r="A41" s="5" t="s">
        <v>25</v>
      </c>
      <c r="B41" s="5" t="s">
        <v>88</v>
      </c>
      <c r="C41" s="5" t="s">
        <v>27</v>
      </c>
      <c r="D41" s="6" t="s">
        <v>30</v>
      </c>
      <c r="E41" s="5"/>
      <c r="F41" s="5" t="s">
        <v>31</v>
      </c>
      <c r="G41" s="7"/>
      <c r="H41" s="5" t="str">
        <f aca="false">IF($G41="","",IF(LOWER(TRIM($G41))=LOWER(TRIM($F41)),"Match","Mismatch"))</f>
        <v/>
      </c>
      <c r="I41" s="5" t="str">
        <f aca="false">IF($G41="","",IF(LOWER(TRIM($G41))=LOWER(TRIM($E41)),"Match","Mismatch"))</f>
        <v/>
      </c>
      <c r="J41" s="6"/>
    </row>
    <row r="42" customFormat="false" ht="35.05" hidden="false" customHeight="false" outlineLevel="0" collapsed="false">
      <c r="A42" s="5" t="s">
        <v>25</v>
      </c>
      <c r="B42" s="5" t="s">
        <v>88</v>
      </c>
      <c r="C42" s="5" t="s">
        <v>27</v>
      </c>
      <c r="D42" s="6" t="s">
        <v>32</v>
      </c>
      <c r="E42" s="5" t="s">
        <v>29</v>
      </c>
      <c r="F42" s="5" t="s">
        <v>31</v>
      </c>
      <c r="G42" s="7"/>
      <c r="H42" s="5" t="str">
        <f aca="false">IF($G42="","",IF(LOWER(TRIM($G42))=LOWER(TRIM($F42)),"Match","Mismatch"))</f>
        <v/>
      </c>
      <c r="I42" s="5" t="str">
        <f aca="false">IF($G42="","",IF(LOWER(TRIM($G42))=LOWER(TRIM($E42)),"Match","Mismatch"))</f>
        <v/>
      </c>
      <c r="J42" s="6"/>
    </row>
    <row r="43" customFormat="false" ht="35.05" hidden="false" customHeight="false" outlineLevel="0" collapsed="false">
      <c r="A43" s="5" t="s">
        <v>25</v>
      </c>
      <c r="B43" s="5" t="s">
        <v>88</v>
      </c>
      <c r="C43" s="5" t="s">
        <v>27</v>
      </c>
      <c r="D43" s="6" t="s">
        <v>33</v>
      </c>
      <c r="E43" s="5"/>
      <c r="F43" s="5" t="s">
        <v>31</v>
      </c>
      <c r="G43" s="7"/>
      <c r="H43" s="5" t="str">
        <f aca="false">IF($G43="","",IF(LOWER(TRIM($G43))=LOWER(TRIM($F43)),"Match","Mismatch"))</f>
        <v/>
      </c>
      <c r="I43" s="5" t="str">
        <f aca="false">IF($G43="","",IF(LOWER(TRIM($G43))=LOWER(TRIM($E43)),"Match","Mismatch"))</f>
        <v/>
      </c>
      <c r="J43" s="6"/>
    </row>
    <row r="44" customFormat="false" ht="23.85" hidden="false" customHeight="false" outlineLevel="0" collapsed="false">
      <c r="A44" s="5" t="s">
        <v>25</v>
      </c>
      <c r="B44" s="5" t="s">
        <v>88</v>
      </c>
      <c r="C44" s="5" t="s">
        <v>27</v>
      </c>
      <c r="D44" s="6" t="s">
        <v>34</v>
      </c>
      <c r="E44" s="5" t="s">
        <v>29</v>
      </c>
      <c r="F44" s="5" t="s">
        <v>31</v>
      </c>
      <c r="G44" s="7"/>
      <c r="H44" s="5" t="str">
        <f aca="false">IF($G44="","",IF(LOWER(TRIM($G44))=LOWER(TRIM($F44)),"Match","Mismatch"))</f>
        <v/>
      </c>
      <c r="I44" s="5" t="str">
        <f aca="false">IF($G44="","",IF(LOWER(TRIM($G44))=LOWER(TRIM($E44)),"Match","Mismatch"))</f>
        <v/>
      </c>
      <c r="J44" s="6"/>
    </row>
    <row r="45" customFormat="false" ht="23.85" hidden="false" customHeight="false" outlineLevel="0" collapsed="false">
      <c r="A45" s="5" t="s">
        <v>25</v>
      </c>
      <c r="B45" s="5" t="s">
        <v>88</v>
      </c>
      <c r="C45" s="5" t="s">
        <v>27</v>
      </c>
      <c r="D45" s="6" t="s">
        <v>37</v>
      </c>
      <c r="E45" s="5"/>
      <c r="F45" s="5" t="s">
        <v>31</v>
      </c>
      <c r="G45" s="7"/>
      <c r="H45" s="5" t="str">
        <f aca="false">IF($G45="","",IF(LOWER(TRIM($G45))=LOWER(TRIM($F45)),"Match","Mismatch"))</f>
        <v/>
      </c>
      <c r="I45" s="5" t="str">
        <f aca="false">IF($G45="","",IF(LOWER(TRIM($G45))=LOWER(TRIM($E45)),"Match","Mismatch"))</f>
        <v/>
      </c>
      <c r="J45" s="6"/>
    </row>
    <row r="46" customFormat="false" ht="23.85" hidden="false" customHeight="false" outlineLevel="0" collapsed="false">
      <c r="A46" s="5" t="s">
        <v>25</v>
      </c>
      <c r="B46" s="5" t="s">
        <v>88</v>
      </c>
      <c r="C46" s="5" t="s">
        <v>27</v>
      </c>
      <c r="D46" s="6" t="s">
        <v>38</v>
      </c>
      <c r="E46" s="5" t="s">
        <v>29</v>
      </c>
      <c r="F46" s="5" t="s">
        <v>31</v>
      </c>
      <c r="G46" s="7"/>
      <c r="H46" s="5" t="str">
        <f aca="false">IF($G46="","",IF(LOWER(TRIM($G46))=LOWER(TRIM($F46)),"Match","Mismatch"))</f>
        <v/>
      </c>
      <c r="I46" s="5" t="str">
        <f aca="false">IF($G46="","",IF(LOWER(TRIM($G46))=LOWER(TRIM($E46)),"Match","Mismatch"))</f>
        <v/>
      </c>
      <c r="J46" s="6"/>
    </row>
    <row r="47" customFormat="false" ht="15" hidden="false" customHeight="false" outlineLevel="0" collapsed="false">
      <c r="A47" s="5" t="s">
        <v>25</v>
      </c>
      <c r="B47" s="5" t="s">
        <v>88</v>
      </c>
      <c r="C47" s="5" t="s">
        <v>39</v>
      </c>
      <c r="D47" s="6" t="s">
        <v>40</v>
      </c>
      <c r="E47" s="5"/>
      <c r="F47" s="5" t="s">
        <v>43</v>
      </c>
      <c r="G47" s="7"/>
      <c r="H47" s="5" t="str">
        <f aca="false">IF($G47="","",IF(LOWER(TRIM($G47))=LOWER(TRIM($F47)),"Match","Mismatch"))</f>
        <v/>
      </c>
      <c r="I47" s="5" t="str">
        <f aca="false">IF($G47="","",IF(LOWER(TRIM($G47))=LOWER(TRIM($E47)),"Match","Mismatch"))</f>
        <v/>
      </c>
      <c r="J47" s="6"/>
    </row>
    <row r="48" customFormat="false" ht="23.85" hidden="false" customHeight="false" outlineLevel="0" collapsed="false">
      <c r="A48" s="5" t="s">
        <v>25</v>
      </c>
      <c r="B48" s="5" t="s">
        <v>88</v>
      </c>
      <c r="C48" s="5" t="s">
        <v>39</v>
      </c>
      <c r="D48" s="6" t="s">
        <v>42</v>
      </c>
      <c r="E48" s="5"/>
      <c r="F48" s="5" t="s">
        <v>41</v>
      </c>
      <c r="G48" s="7"/>
      <c r="H48" s="5" t="str">
        <f aca="false">IF($G48="","",IF(LOWER(TRIM($G48))=LOWER(TRIM($F48)),"Match","Mismatch"))</f>
        <v/>
      </c>
      <c r="I48" s="5" t="str">
        <f aca="false">IF($G48="","",IF(LOWER(TRIM($G48))=LOWER(TRIM($E48)),"Match","Mismatch"))</f>
        <v/>
      </c>
      <c r="J48" s="6"/>
    </row>
    <row r="49" customFormat="false" ht="23.85" hidden="false" customHeight="false" outlineLevel="0" collapsed="false">
      <c r="A49" s="5" t="s">
        <v>25</v>
      </c>
      <c r="B49" s="5" t="s">
        <v>88</v>
      </c>
      <c r="C49" s="5" t="s">
        <v>39</v>
      </c>
      <c r="D49" s="6" t="s">
        <v>44</v>
      </c>
      <c r="E49" s="5"/>
      <c r="F49" s="5" t="s">
        <v>55</v>
      </c>
      <c r="G49" s="7"/>
      <c r="H49" s="5" t="str">
        <f aca="false">IF($G49="","",IF(LOWER(TRIM($G49))=LOWER(TRIM($F49)),"Match","Mismatch"))</f>
        <v/>
      </c>
      <c r="I49" s="5" t="str">
        <f aca="false">IF($G49="","",IF(LOWER(TRIM($G49))=LOWER(TRIM($E49)),"Match","Mismatch"))</f>
        <v/>
      </c>
      <c r="J49" s="6"/>
    </row>
    <row r="50" customFormat="false" ht="15" hidden="false" customHeight="false" outlineLevel="0" collapsed="false">
      <c r="A50" s="5" t="s">
        <v>25</v>
      </c>
      <c r="B50" s="5" t="s">
        <v>88</v>
      </c>
      <c r="C50" s="5" t="s">
        <v>39</v>
      </c>
      <c r="D50" s="6" t="s">
        <v>45</v>
      </c>
      <c r="E50" s="5"/>
      <c r="F50" s="5" t="s">
        <v>46</v>
      </c>
      <c r="G50" s="7"/>
      <c r="H50" s="5" t="str">
        <f aca="false">IF($G50="","",IF(LOWER(TRIM($G50))=LOWER(TRIM($F50)),"Match","Mismatch"))</f>
        <v/>
      </c>
      <c r="I50" s="5" t="str">
        <f aca="false">IF($G50="","",IF(LOWER(TRIM($G50))=LOWER(TRIM($E50)),"Match","Mismatch"))</f>
        <v/>
      </c>
      <c r="J50" s="6"/>
    </row>
    <row r="51" customFormat="false" ht="15" hidden="false" customHeight="false" outlineLevel="0" collapsed="false">
      <c r="A51" s="5" t="s">
        <v>25</v>
      </c>
      <c r="B51" s="5" t="s">
        <v>88</v>
      </c>
      <c r="C51" s="5" t="s">
        <v>39</v>
      </c>
      <c r="D51" s="6" t="s">
        <v>47</v>
      </c>
      <c r="E51" s="5"/>
      <c r="F51" s="5" t="s">
        <v>41</v>
      </c>
      <c r="G51" s="7"/>
      <c r="H51" s="5" t="str">
        <f aca="false">IF($G51="","",IF(LOWER(TRIM($G51))=LOWER(TRIM($F51)),"Match","Mismatch"))</f>
        <v/>
      </c>
      <c r="I51" s="5" t="str">
        <f aca="false">IF($G51="","",IF(LOWER(TRIM($G51))=LOWER(TRIM($E51)),"Match","Mismatch"))</f>
        <v/>
      </c>
      <c r="J51" s="6"/>
    </row>
    <row r="52" customFormat="false" ht="15" hidden="false" customHeight="false" outlineLevel="0" collapsed="false">
      <c r="A52" s="5" t="s">
        <v>25</v>
      </c>
      <c r="B52" s="5" t="s">
        <v>88</v>
      </c>
      <c r="C52" s="5" t="s">
        <v>39</v>
      </c>
      <c r="D52" s="6" t="s">
        <v>48</v>
      </c>
      <c r="E52" s="5"/>
      <c r="F52" s="5" t="s">
        <v>46</v>
      </c>
      <c r="G52" s="7"/>
      <c r="H52" s="5" t="str">
        <f aca="false">IF($G52="","",IF(LOWER(TRIM($G52))=LOWER(TRIM($F52)),"Match","Mismatch"))</f>
        <v/>
      </c>
      <c r="I52" s="5" t="str">
        <f aca="false">IF($G52="","",IF(LOWER(TRIM($G52))=LOWER(TRIM($E52)),"Match","Mismatch"))</f>
        <v/>
      </c>
      <c r="J52" s="6"/>
    </row>
    <row r="53" customFormat="false" ht="15" hidden="false" customHeight="false" outlineLevel="0" collapsed="false">
      <c r="A53" s="5" t="s">
        <v>25</v>
      </c>
      <c r="B53" s="5" t="s">
        <v>88</v>
      </c>
      <c r="C53" s="5" t="s">
        <v>39</v>
      </c>
      <c r="D53" s="6" t="s">
        <v>49</v>
      </c>
      <c r="E53" s="5"/>
      <c r="F53" s="5" t="s">
        <v>46</v>
      </c>
      <c r="G53" s="7"/>
      <c r="H53" s="5" t="str">
        <f aca="false">IF($G53="","",IF(LOWER(TRIM($G53))=LOWER(TRIM($F53)),"Match","Mismatch"))</f>
        <v/>
      </c>
      <c r="I53" s="5" t="str">
        <f aca="false">IF($G53="","",IF(LOWER(TRIM($G53))=LOWER(TRIM($E53)),"Match","Mismatch"))</f>
        <v/>
      </c>
      <c r="J53" s="6"/>
    </row>
    <row r="54" customFormat="false" ht="23.85" hidden="false" customHeight="false" outlineLevel="0" collapsed="false">
      <c r="A54" s="5" t="s">
        <v>25</v>
      </c>
      <c r="B54" s="5" t="s">
        <v>88</v>
      </c>
      <c r="C54" s="5" t="s">
        <v>39</v>
      </c>
      <c r="D54" s="6" t="s">
        <v>50</v>
      </c>
      <c r="E54" s="5"/>
      <c r="F54" s="5" t="s">
        <v>41</v>
      </c>
      <c r="G54" s="7"/>
      <c r="H54" s="5" t="str">
        <f aca="false">IF($G54="","",IF(LOWER(TRIM($G54))=LOWER(TRIM($F54)),"Match","Mismatch"))</f>
        <v/>
      </c>
      <c r="I54" s="5" t="str">
        <f aca="false">IF($G54="","",IF(LOWER(TRIM($G54))=LOWER(TRIM($E54)),"Match","Mismatch"))</f>
        <v/>
      </c>
      <c r="J54" s="6"/>
    </row>
    <row r="55" customFormat="false" ht="15" hidden="false" customHeight="false" outlineLevel="0" collapsed="false">
      <c r="A55" s="5" t="s">
        <v>25</v>
      </c>
      <c r="B55" s="5" t="s">
        <v>88</v>
      </c>
      <c r="C55" s="5" t="s">
        <v>39</v>
      </c>
      <c r="D55" s="6" t="s">
        <v>51</v>
      </c>
      <c r="E55" s="5"/>
      <c r="F55" s="5" t="s">
        <v>46</v>
      </c>
      <c r="G55" s="7"/>
      <c r="H55" s="5" t="str">
        <f aca="false">IF($G55="","",IF(LOWER(TRIM($G55))=LOWER(TRIM($F55)),"Match","Mismatch"))</f>
        <v/>
      </c>
      <c r="I55" s="5" t="str">
        <f aca="false">IF($G55="","",IF(LOWER(TRIM($G55))=LOWER(TRIM($E55)),"Match","Mismatch"))</f>
        <v/>
      </c>
      <c r="J55" s="6"/>
    </row>
    <row r="56" customFormat="false" ht="15" hidden="false" customHeight="false" outlineLevel="0" collapsed="false">
      <c r="A56" s="5" t="s">
        <v>25</v>
      </c>
      <c r="B56" s="5" t="s">
        <v>88</v>
      </c>
      <c r="C56" s="5" t="s">
        <v>39</v>
      </c>
      <c r="D56" s="6" t="s">
        <v>52</v>
      </c>
      <c r="E56" s="5"/>
      <c r="F56" s="5" t="s">
        <v>46</v>
      </c>
      <c r="G56" s="7"/>
      <c r="H56" s="5" t="str">
        <f aca="false">IF($G56="","",IF(LOWER(TRIM($G56))=LOWER(TRIM($F56)),"Match","Mismatch"))</f>
        <v/>
      </c>
      <c r="I56" s="5" t="str">
        <f aca="false">IF($G56="","",IF(LOWER(TRIM($G56))=LOWER(TRIM($E56)),"Match","Mismatch"))</f>
        <v/>
      </c>
      <c r="J56" s="6"/>
    </row>
    <row r="57" customFormat="false" ht="15" hidden="false" customHeight="false" outlineLevel="0" collapsed="false">
      <c r="A57" s="5" t="s">
        <v>25</v>
      </c>
      <c r="B57" s="5" t="s">
        <v>88</v>
      </c>
      <c r="C57" s="5" t="s">
        <v>39</v>
      </c>
      <c r="D57" s="6" t="s">
        <v>53</v>
      </c>
      <c r="E57" s="5"/>
      <c r="F57" s="5" t="s">
        <v>46</v>
      </c>
      <c r="G57" s="7"/>
      <c r="H57" s="5" t="str">
        <f aca="false">IF($G57="","",IF(LOWER(TRIM($G57))=LOWER(TRIM($F57)),"Match","Mismatch"))</f>
        <v/>
      </c>
      <c r="I57" s="5" t="str">
        <f aca="false">IF($G57="","",IF(LOWER(TRIM($G57))=LOWER(TRIM($E57)),"Match","Mismatch"))</f>
        <v/>
      </c>
      <c r="J57" s="6"/>
    </row>
    <row r="58" customFormat="false" ht="15" hidden="false" customHeight="false" outlineLevel="0" collapsed="false">
      <c r="A58" s="5" t="s">
        <v>25</v>
      </c>
      <c r="B58" s="5" t="s">
        <v>88</v>
      </c>
      <c r="C58" s="5" t="s">
        <v>39</v>
      </c>
      <c r="D58" s="6" t="s">
        <v>54</v>
      </c>
      <c r="E58" s="5"/>
      <c r="F58" s="5" t="s">
        <v>46</v>
      </c>
      <c r="G58" s="7"/>
      <c r="H58" s="5" t="str">
        <f aca="false">IF($G58="","",IF(LOWER(TRIM($G58))=LOWER(TRIM($F58)),"Match","Mismatch"))</f>
        <v/>
      </c>
      <c r="I58" s="5" t="str">
        <f aca="false">IF($G58="","",IF(LOWER(TRIM($G58))=LOWER(TRIM($E58)),"Match","Mismatch"))</f>
        <v/>
      </c>
      <c r="J58" s="6"/>
    </row>
    <row r="59" customFormat="false" ht="23.85" hidden="false" customHeight="false" outlineLevel="0" collapsed="false">
      <c r="A59" s="5" t="s">
        <v>25</v>
      </c>
      <c r="B59" s="5" t="s">
        <v>88</v>
      </c>
      <c r="C59" s="5" t="s">
        <v>39</v>
      </c>
      <c r="D59" s="6" t="s">
        <v>56</v>
      </c>
      <c r="E59" s="5"/>
      <c r="F59" s="5" t="s">
        <v>55</v>
      </c>
      <c r="G59" s="7"/>
      <c r="H59" s="5" t="str">
        <f aca="false">IF($G59="","",IF(LOWER(TRIM($G59))=LOWER(TRIM($F59)),"Match","Mismatch"))</f>
        <v/>
      </c>
      <c r="I59" s="5" t="str">
        <f aca="false">IF($G59="","",IF(LOWER(TRIM($G59))=LOWER(TRIM($E59)),"Match","Mismatch"))</f>
        <v/>
      </c>
      <c r="J59" s="6"/>
    </row>
    <row r="60" customFormat="false" ht="15" hidden="false" customHeight="false" outlineLevel="0" collapsed="false">
      <c r="A60" s="5" t="s">
        <v>25</v>
      </c>
      <c r="B60" s="5" t="s">
        <v>88</v>
      </c>
      <c r="C60" s="5" t="s">
        <v>39</v>
      </c>
      <c r="D60" s="6" t="s">
        <v>57</v>
      </c>
      <c r="E60" s="5"/>
      <c r="F60" s="5" t="s">
        <v>43</v>
      </c>
      <c r="G60" s="7"/>
      <c r="H60" s="5" t="str">
        <f aca="false">IF($G60="","",IF(LOWER(TRIM($G60))=LOWER(TRIM($F60)),"Match","Mismatch"))</f>
        <v/>
      </c>
      <c r="I60" s="5" t="str">
        <f aca="false">IF($G60="","",IF(LOWER(TRIM($G60))=LOWER(TRIM($E60)),"Match","Mismatch"))</f>
        <v/>
      </c>
      <c r="J60" s="6"/>
    </row>
    <row r="61" customFormat="false" ht="15" hidden="false" customHeight="false" outlineLevel="0" collapsed="false">
      <c r="A61" s="5" t="s">
        <v>25</v>
      </c>
      <c r="B61" s="5" t="s">
        <v>88</v>
      </c>
      <c r="C61" s="5" t="s">
        <v>39</v>
      </c>
      <c r="D61" s="6" t="s">
        <v>58</v>
      </c>
      <c r="E61" s="5"/>
      <c r="F61" s="5" t="s">
        <v>55</v>
      </c>
      <c r="G61" s="7"/>
      <c r="H61" s="5" t="str">
        <f aca="false">IF($G61="","",IF(LOWER(TRIM($G61))=LOWER(TRIM($F61)),"Match","Mismatch"))</f>
        <v/>
      </c>
      <c r="I61" s="5" t="str">
        <f aca="false">IF($G61="","",IF(LOWER(TRIM($G61))=LOWER(TRIM($E61)),"Match","Mismatch"))</f>
        <v/>
      </c>
      <c r="J61" s="6"/>
    </row>
    <row r="62" customFormat="false" ht="15" hidden="false" customHeight="false" outlineLevel="0" collapsed="false">
      <c r="A62" s="5" t="s">
        <v>25</v>
      </c>
      <c r="B62" s="5" t="s">
        <v>88</v>
      </c>
      <c r="C62" s="5" t="s">
        <v>59</v>
      </c>
      <c r="D62" s="6" t="s">
        <v>60</v>
      </c>
      <c r="E62" s="5" t="s">
        <v>29</v>
      </c>
      <c r="F62" s="5" t="s">
        <v>31</v>
      </c>
      <c r="G62" s="7"/>
      <c r="H62" s="5" t="str">
        <f aca="false">IF($G62="","",IF(LOWER(TRIM($G62))=LOWER(TRIM($F62)),"Match","Mismatch"))</f>
        <v/>
      </c>
      <c r="I62" s="5" t="str">
        <f aca="false">IF($G62="","",IF(LOWER(TRIM($G62))=LOWER(TRIM($E62)),"Match","Mismatch"))</f>
        <v/>
      </c>
      <c r="J62" s="6"/>
    </row>
    <row r="63" customFormat="false" ht="23.85" hidden="false" customHeight="false" outlineLevel="0" collapsed="false">
      <c r="A63" s="5" t="s">
        <v>25</v>
      </c>
      <c r="B63" s="5" t="s">
        <v>88</v>
      </c>
      <c r="C63" s="5" t="s">
        <v>59</v>
      </c>
      <c r="D63" s="6" t="s">
        <v>61</v>
      </c>
      <c r="E63" s="5" t="s">
        <v>29</v>
      </c>
      <c r="F63" s="5" t="s">
        <v>31</v>
      </c>
      <c r="G63" s="7"/>
      <c r="H63" s="5" t="str">
        <f aca="false">IF($G63="","",IF(LOWER(TRIM($G63))=LOWER(TRIM($F63)),"Match","Mismatch"))</f>
        <v/>
      </c>
      <c r="I63" s="5" t="str">
        <f aca="false">IF($G63="","",IF(LOWER(TRIM($G63))=LOWER(TRIM($E63)),"Match","Mismatch"))</f>
        <v/>
      </c>
      <c r="J63" s="6"/>
    </row>
    <row r="64" customFormat="false" ht="15" hidden="false" customHeight="false" outlineLevel="0" collapsed="false">
      <c r="A64" s="5" t="s">
        <v>25</v>
      </c>
      <c r="B64" s="5" t="s">
        <v>88</v>
      </c>
      <c r="C64" s="5" t="s">
        <v>59</v>
      </c>
      <c r="D64" s="6" t="s">
        <v>62</v>
      </c>
      <c r="E64" s="5" t="s">
        <v>29</v>
      </c>
      <c r="F64" s="5" t="s">
        <v>31</v>
      </c>
      <c r="G64" s="7"/>
      <c r="H64" s="5" t="str">
        <f aca="false">IF($G64="","",IF(LOWER(TRIM($G64))=LOWER(TRIM($F64)),"Match","Mismatch"))</f>
        <v/>
      </c>
      <c r="I64" s="5" t="str">
        <f aca="false">IF($G64="","",IF(LOWER(TRIM($G64))=LOWER(TRIM($E64)),"Match","Mismatch"))</f>
        <v/>
      </c>
      <c r="J64" s="6"/>
    </row>
    <row r="65" customFormat="false" ht="15" hidden="false" customHeight="false" outlineLevel="0" collapsed="false">
      <c r="A65" s="5" t="s">
        <v>25</v>
      </c>
      <c r="B65" s="5" t="s">
        <v>88</v>
      </c>
      <c r="C65" s="5" t="s">
        <v>59</v>
      </c>
      <c r="D65" s="6" t="s">
        <v>63</v>
      </c>
      <c r="E65" s="5" t="s">
        <v>89</v>
      </c>
      <c r="F65" s="5" t="s">
        <v>90</v>
      </c>
      <c r="G65" s="7"/>
      <c r="H65" s="5" t="str">
        <f aca="false">IF($G65="","",IF(LOWER(TRIM($G65))=LOWER(TRIM($F65)),"Match","Mismatch"))</f>
        <v/>
      </c>
      <c r="I65" s="5" t="str">
        <f aca="false">IF($G65="","",IF(LOWER(TRIM($G65))=LOWER(TRIM($E65)),"Match","Mismatch"))</f>
        <v/>
      </c>
      <c r="J65" s="6"/>
    </row>
    <row r="66" customFormat="false" ht="23.85" hidden="false" customHeight="false" outlineLevel="0" collapsed="false">
      <c r="A66" s="5" t="s">
        <v>25</v>
      </c>
      <c r="B66" s="5" t="s">
        <v>88</v>
      </c>
      <c r="C66" s="5" t="s">
        <v>59</v>
      </c>
      <c r="D66" s="6" t="s">
        <v>65</v>
      </c>
      <c r="E66" s="5" t="s">
        <v>29</v>
      </c>
      <c r="F66" s="5" t="s">
        <v>31</v>
      </c>
      <c r="G66" s="7"/>
      <c r="H66" s="5" t="str">
        <f aca="false">IF($G66="","",IF(LOWER(TRIM($G66))=LOWER(TRIM($F66)),"Match","Mismatch"))</f>
        <v/>
      </c>
      <c r="I66" s="5" t="str">
        <f aca="false">IF($G66="","",IF(LOWER(TRIM($G66))=LOWER(TRIM($E66)),"Match","Mismatch"))</f>
        <v/>
      </c>
      <c r="J66" s="6"/>
    </row>
    <row r="67" customFormat="false" ht="23.85" hidden="false" customHeight="false" outlineLevel="0" collapsed="false">
      <c r="A67" s="5" t="s">
        <v>25</v>
      </c>
      <c r="B67" s="5" t="s">
        <v>88</v>
      </c>
      <c r="C67" s="5" t="s">
        <v>59</v>
      </c>
      <c r="D67" s="6" t="s">
        <v>66</v>
      </c>
      <c r="E67" s="5" t="s">
        <v>29</v>
      </c>
      <c r="F67" s="5" t="s">
        <v>31</v>
      </c>
      <c r="G67" s="7"/>
      <c r="H67" s="5" t="str">
        <f aca="false">IF($G67="","",IF(LOWER(TRIM($G67))=LOWER(TRIM($F67)),"Match","Mismatch"))</f>
        <v/>
      </c>
      <c r="I67" s="5" t="str">
        <f aca="false">IF($G67="","",IF(LOWER(TRIM($G67))=LOWER(TRIM($E67)),"Match","Mismatch"))</f>
        <v/>
      </c>
      <c r="J67" s="6"/>
    </row>
    <row r="68" customFormat="false" ht="15" hidden="false" customHeight="false" outlineLevel="0" collapsed="false">
      <c r="A68" s="5" t="s">
        <v>25</v>
      </c>
      <c r="B68" s="5" t="s">
        <v>88</v>
      </c>
      <c r="C68" s="5" t="s">
        <v>67</v>
      </c>
      <c r="D68" s="6" t="s">
        <v>68</v>
      </c>
      <c r="E68" s="5" t="s">
        <v>91</v>
      </c>
      <c r="F68" s="5" t="s">
        <v>92</v>
      </c>
      <c r="G68" s="7"/>
      <c r="H68" s="5" t="str">
        <f aca="false">IF($G68="","",IF(LOWER(TRIM($G68))=LOWER(TRIM($F68)),"Match","Mismatch"))</f>
        <v/>
      </c>
      <c r="I68" s="5" t="str">
        <f aca="false">IF($G68="","",IF(LOWER(TRIM($G68))=LOWER(TRIM($E68)),"Match","Mismatch"))</f>
        <v/>
      </c>
      <c r="J68" s="6"/>
    </row>
    <row r="69" customFormat="false" ht="15" hidden="false" customHeight="false" outlineLevel="0" collapsed="false">
      <c r="A69" s="5" t="s">
        <v>25</v>
      </c>
      <c r="B69" s="5" t="s">
        <v>88</v>
      </c>
      <c r="C69" s="5" t="s">
        <v>70</v>
      </c>
      <c r="D69" s="6" t="s">
        <v>71</v>
      </c>
      <c r="E69" s="5" t="s">
        <v>93</v>
      </c>
      <c r="F69" s="5" t="s">
        <v>94</v>
      </c>
      <c r="G69" s="7"/>
      <c r="H69" s="5" t="str">
        <f aca="false">IF($G69="","",IF(LOWER(TRIM($G69))=LOWER(TRIM($F69)),"Match","Mismatch"))</f>
        <v/>
      </c>
      <c r="I69" s="5" t="str">
        <f aca="false">IF($G69="","",IF(LOWER(TRIM($G69))=LOWER(TRIM($E69)),"Match","Mismatch"))</f>
        <v/>
      </c>
      <c r="J69" s="6"/>
    </row>
    <row r="70" customFormat="false" ht="15" hidden="false" customHeight="false" outlineLevel="0" collapsed="false">
      <c r="A70" s="5" t="s">
        <v>25</v>
      </c>
      <c r="B70" s="5" t="s">
        <v>88</v>
      </c>
      <c r="C70" s="5" t="s">
        <v>70</v>
      </c>
      <c r="D70" s="6" t="s">
        <v>73</v>
      </c>
      <c r="E70" s="5" t="s">
        <v>95</v>
      </c>
      <c r="F70" s="5" t="s">
        <v>96</v>
      </c>
      <c r="G70" s="7"/>
      <c r="H70" s="5" t="str">
        <f aca="false">IF($G70="","",IF(LOWER(TRIM($G70))=LOWER(TRIM($F70)),"Match","Mismatch"))</f>
        <v/>
      </c>
      <c r="I70" s="5" t="str">
        <f aca="false">IF($G70="","",IF(LOWER(TRIM($G70))=LOWER(TRIM($E70)),"Match","Mismatch"))</f>
        <v/>
      </c>
      <c r="J70" s="6"/>
    </row>
    <row r="71" customFormat="false" ht="15" hidden="false" customHeight="false" outlineLevel="0" collapsed="false">
      <c r="A71" s="5" t="s">
        <v>25</v>
      </c>
      <c r="B71" s="5" t="s">
        <v>88</v>
      </c>
      <c r="C71" s="5" t="s">
        <v>70</v>
      </c>
      <c r="D71" s="6" t="s">
        <v>75</v>
      </c>
      <c r="E71" s="5" t="s">
        <v>93</v>
      </c>
      <c r="F71" s="5" t="s">
        <v>97</v>
      </c>
      <c r="G71" s="7"/>
      <c r="H71" s="5" t="str">
        <f aca="false">IF($G71="","",IF(LOWER(TRIM($G71))=LOWER(TRIM($F71)),"Match","Mismatch"))</f>
        <v/>
      </c>
      <c r="I71" s="5" t="str">
        <f aca="false">IF($G71="","",IF(LOWER(TRIM($G71))=LOWER(TRIM($E71)),"Match","Mismatch"))</f>
        <v/>
      </c>
      <c r="J71" s="6"/>
    </row>
    <row r="72" customFormat="false" ht="15" hidden="false" customHeight="false" outlineLevel="0" collapsed="false">
      <c r="A72" s="5" t="s">
        <v>25</v>
      </c>
      <c r="B72" s="5" t="s">
        <v>88</v>
      </c>
      <c r="C72" s="5" t="s">
        <v>70</v>
      </c>
      <c r="D72" s="6" t="s">
        <v>77</v>
      </c>
      <c r="E72" s="5" t="s">
        <v>93</v>
      </c>
      <c r="F72" s="5" t="s">
        <v>98</v>
      </c>
      <c r="G72" s="7"/>
      <c r="H72" s="5" t="str">
        <f aca="false">IF($G72="","",IF(LOWER(TRIM($G72))=LOWER(TRIM($F72)),"Match","Mismatch"))</f>
        <v/>
      </c>
      <c r="I72" s="5" t="str">
        <f aca="false">IF($G72="","",IF(LOWER(TRIM($G72))=LOWER(TRIM($E72)),"Match","Mismatch"))</f>
        <v/>
      </c>
      <c r="J72" s="6"/>
    </row>
    <row r="73" customFormat="false" ht="15" hidden="false" customHeight="false" outlineLevel="0" collapsed="false">
      <c r="A73" s="5" t="s">
        <v>25</v>
      </c>
      <c r="B73" s="5" t="s">
        <v>88</v>
      </c>
      <c r="C73" s="5" t="s">
        <v>70</v>
      </c>
      <c r="D73" s="6" t="s">
        <v>80</v>
      </c>
      <c r="E73" s="5" t="s">
        <v>93</v>
      </c>
      <c r="F73" s="5" t="s">
        <v>99</v>
      </c>
      <c r="G73" s="7"/>
      <c r="H73" s="5" t="str">
        <f aca="false">IF($G73="","",IF(LOWER(TRIM($G73))=LOWER(TRIM($F73)),"Match","Mismatch"))</f>
        <v/>
      </c>
      <c r="I73" s="5" t="str">
        <f aca="false">IF($G73="","",IF(LOWER(TRIM($G73))=LOWER(TRIM($E73)),"Match","Mismatch"))</f>
        <v/>
      </c>
      <c r="J73" s="6"/>
    </row>
    <row r="74" customFormat="false" ht="15" hidden="false" customHeight="false" outlineLevel="0" collapsed="false">
      <c r="A74" s="5" t="s">
        <v>25</v>
      </c>
      <c r="B74" s="5" t="s">
        <v>88</v>
      </c>
      <c r="C74" s="5" t="s">
        <v>70</v>
      </c>
      <c r="D74" s="6" t="s">
        <v>82</v>
      </c>
      <c r="E74" s="5" t="s">
        <v>93</v>
      </c>
      <c r="F74" s="5" t="s">
        <v>100</v>
      </c>
      <c r="G74" s="7"/>
      <c r="H74" s="5" t="str">
        <f aca="false">IF($G74="","",IF(LOWER(TRIM($G74))=LOWER(TRIM($F74)),"Match","Mismatch"))</f>
        <v/>
      </c>
      <c r="I74" s="5" t="str">
        <f aca="false">IF($G74="","",IF(LOWER(TRIM($G74))=LOWER(TRIM($E74)),"Match","Mismatch"))</f>
        <v/>
      </c>
      <c r="J74" s="6"/>
    </row>
    <row r="75" customFormat="false" ht="15" hidden="false" customHeight="false" outlineLevel="0" collapsed="false">
      <c r="A75" s="5" t="s">
        <v>25</v>
      </c>
      <c r="B75" s="5" t="s">
        <v>88</v>
      </c>
      <c r="C75" s="5" t="s">
        <v>70</v>
      </c>
      <c r="D75" s="6" t="s">
        <v>84</v>
      </c>
      <c r="E75" s="5" t="s">
        <v>93</v>
      </c>
      <c r="F75" s="5" t="s">
        <v>101</v>
      </c>
      <c r="G75" s="7"/>
      <c r="H75" s="5" t="str">
        <f aca="false">IF($G75="","",IF(LOWER(TRIM($G75))=LOWER(TRIM($F75)),"Match","Mismatch"))</f>
        <v/>
      </c>
      <c r="I75" s="5" t="str">
        <f aca="false">IF($G75="","",IF(LOWER(TRIM($G75))=LOWER(TRIM($E75)),"Match","Mismatch"))</f>
        <v/>
      </c>
      <c r="J75" s="6"/>
    </row>
    <row r="76" customFormat="false" ht="15" hidden="false" customHeight="false" outlineLevel="0" collapsed="false">
      <c r="A76" s="5" t="s">
        <v>25</v>
      </c>
      <c r="B76" s="5" t="s">
        <v>88</v>
      </c>
      <c r="C76" s="5" t="s">
        <v>70</v>
      </c>
      <c r="D76" s="6" t="s">
        <v>86</v>
      </c>
      <c r="E76" s="5" t="s">
        <v>93</v>
      </c>
      <c r="F76" s="5" t="s">
        <v>102</v>
      </c>
      <c r="G76" s="7"/>
      <c r="H76" s="5" t="str">
        <f aca="false">IF($G76="","",IF(LOWER(TRIM($G76))=LOWER(TRIM($F76)),"Match","Mismatch"))</f>
        <v/>
      </c>
      <c r="I76" s="5" t="str">
        <f aca="false">IF($G76="","",IF(LOWER(TRIM($G76))=LOWER(TRIM($E76)),"Match","Mismatch"))</f>
        <v/>
      </c>
      <c r="J76" s="6"/>
    </row>
    <row r="77" customFormat="false" ht="23.85" hidden="false" customHeight="false" outlineLevel="0" collapsed="false">
      <c r="A77" s="5" t="s">
        <v>25</v>
      </c>
      <c r="B77" s="5" t="s">
        <v>103</v>
      </c>
      <c r="C77" s="5" t="s">
        <v>27</v>
      </c>
      <c r="D77" s="6" t="s">
        <v>28</v>
      </c>
      <c r="E77" s="5"/>
      <c r="F77" s="5" t="s">
        <v>31</v>
      </c>
      <c r="G77" s="7"/>
      <c r="H77" s="5" t="str">
        <f aca="false">IF($G77="","",IF(LOWER(TRIM($G77))=LOWER(TRIM($F77)),"Match","Mismatch"))</f>
        <v/>
      </c>
      <c r="I77" s="5" t="str">
        <f aca="false">IF($G77="","",IF(LOWER(TRIM($G77))=LOWER(TRIM($E77)),"Match","Mismatch"))</f>
        <v/>
      </c>
      <c r="J77" s="6"/>
    </row>
    <row r="78" customFormat="false" ht="23.85" hidden="false" customHeight="false" outlineLevel="0" collapsed="false">
      <c r="A78" s="5" t="s">
        <v>25</v>
      </c>
      <c r="B78" s="5" t="s">
        <v>103</v>
      </c>
      <c r="C78" s="5" t="s">
        <v>27</v>
      </c>
      <c r="D78" s="6" t="s">
        <v>30</v>
      </c>
      <c r="E78" s="5"/>
      <c r="F78" s="5" t="s">
        <v>31</v>
      </c>
      <c r="G78" s="7"/>
      <c r="H78" s="5" t="str">
        <f aca="false">IF($G78="","",IF(LOWER(TRIM($G78))=LOWER(TRIM($F78)),"Match","Mismatch"))</f>
        <v/>
      </c>
      <c r="I78" s="5" t="str">
        <f aca="false">IF($G78="","",IF(LOWER(TRIM($G78))=LOWER(TRIM($E78)),"Match","Mismatch"))</f>
        <v/>
      </c>
      <c r="J78" s="6"/>
    </row>
    <row r="79" customFormat="false" ht="35.05" hidden="false" customHeight="false" outlineLevel="0" collapsed="false">
      <c r="A79" s="5" t="s">
        <v>25</v>
      </c>
      <c r="B79" s="5" t="s">
        <v>103</v>
      </c>
      <c r="C79" s="5" t="s">
        <v>27</v>
      </c>
      <c r="D79" s="6" t="s">
        <v>32</v>
      </c>
      <c r="E79" s="5"/>
      <c r="F79" s="5" t="s">
        <v>31</v>
      </c>
      <c r="G79" s="7"/>
      <c r="H79" s="5" t="str">
        <f aca="false">IF($G79="","",IF(LOWER(TRIM($G79))=LOWER(TRIM($F79)),"Match","Mismatch"))</f>
        <v/>
      </c>
      <c r="I79" s="5" t="str">
        <f aca="false">IF($G79="","",IF(LOWER(TRIM($G79))=LOWER(TRIM($E79)),"Match","Mismatch"))</f>
        <v/>
      </c>
      <c r="J79" s="6"/>
    </row>
    <row r="80" customFormat="false" ht="35.05" hidden="false" customHeight="false" outlineLevel="0" collapsed="false">
      <c r="A80" s="5" t="s">
        <v>25</v>
      </c>
      <c r="B80" s="5" t="s">
        <v>103</v>
      </c>
      <c r="C80" s="5" t="s">
        <v>27</v>
      </c>
      <c r="D80" s="6" t="s">
        <v>33</v>
      </c>
      <c r="E80" s="5"/>
      <c r="F80" s="5" t="s">
        <v>31</v>
      </c>
      <c r="G80" s="7"/>
      <c r="H80" s="5" t="str">
        <f aca="false">IF($G80="","",IF(LOWER(TRIM($G80))=LOWER(TRIM($F80)),"Match","Mismatch"))</f>
        <v/>
      </c>
      <c r="I80" s="5" t="str">
        <f aca="false">IF($G80="","",IF(LOWER(TRIM($G80))=LOWER(TRIM($E80)),"Match","Mismatch"))</f>
        <v/>
      </c>
      <c r="J80" s="6"/>
    </row>
    <row r="81" customFormat="false" ht="23.85" hidden="false" customHeight="false" outlineLevel="0" collapsed="false">
      <c r="A81" s="5" t="s">
        <v>25</v>
      </c>
      <c r="B81" s="5" t="s">
        <v>103</v>
      </c>
      <c r="C81" s="5" t="s">
        <v>27</v>
      </c>
      <c r="D81" s="6" t="s">
        <v>34</v>
      </c>
      <c r="E81" s="5"/>
      <c r="F81" s="5" t="s">
        <v>31</v>
      </c>
      <c r="G81" s="7"/>
      <c r="H81" s="5" t="str">
        <f aca="false">IF($G81="","",IF(LOWER(TRIM($G81))=LOWER(TRIM($F81)),"Match","Mismatch"))</f>
        <v/>
      </c>
      <c r="I81" s="5" t="str">
        <f aca="false">IF($G81="","",IF(LOWER(TRIM($G81))=LOWER(TRIM($E81)),"Match","Mismatch"))</f>
        <v/>
      </c>
      <c r="J81" s="6"/>
    </row>
    <row r="82" customFormat="false" ht="15" hidden="false" customHeight="false" outlineLevel="0" collapsed="false">
      <c r="A82" s="5" t="s">
        <v>25</v>
      </c>
      <c r="B82" s="5" t="s">
        <v>103</v>
      </c>
      <c r="C82" s="5" t="s">
        <v>27</v>
      </c>
      <c r="D82" s="6" t="s">
        <v>35</v>
      </c>
      <c r="E82" s="5" t="s">
        <v>104</v>
      </c>
      <c r="F82" s="5" t="s">
        <v>105</v>
      </c>
      <c r="G82" s="7"/>
      <c r="H82" s="5" t="str">
        <f aca="false">IF($G82="","",IF(LOWER(TRIM($G82))=LOWER(TRIM($F82)),"Match","Mismatch"))</f>
        <v/>
      </c>
      <c r="I82" s="5" t="str">
        <f aca="false">IF($G82="","",IF(LOWER(TRIM($G82))=LOWER(TRIM($E82)),"Match","Mismatch"))</f>
        <v/>
      </c>
      <c r="J82" s="6"/>
    </row>
    <row r="83" customFormat="false" ht="23.85" hidden="false" customHeight="false" outlineLevel="0" collapsed="false">
      <c r="A83" s="5" t="s">
        <v>25</v>
      </c>
      <c r="B83" s="5" t="s">
        <v>103</v>
      </c>
      <c r="C83" s="5" t="s">
        <v>27</v>
      </c>
      <c r="D83" s="6" t="s">
        <v>37</v>
      </c>
      <c r="E83" s="5"/>
      <c r="F83" s="5" t="s">
        <v>31</v>
      </c>
      <c r="G83" s="7"/>
      <c r="H83" s="5" t="str">
        <f aca="false">IF($G83="","",IF(LOWER(TRIM($G83))=LOWER(TRIM($F83)),"Match","Mismatch"))</f>
        <v/>
      </c>
      <c r="I83" s="5" t="str">
        <f aca="false">IF($G83="","",IF(LOWER(TRIM($G83))=LOWER(TRIM($E83)),"Match","Mismatch"))</f>
        <v/>
      </c>
      <c r="J83" s="6"/>
    </row>
    <row r="84" customFormat="false" ht="23.85" hidden="false" customHeight="false" outlineLevel="0" collapsed="false">
      <c r="A84" s="5" t="s">
        <v>25</v>
      </c>
      <c r="B84" s="5" t="s">
        <v>103</v>
      </c>
      <c r="C84" s="5" t="s">
        <v>27</v>
      </c>
      <c r="D84" s="6" t="s">
        <v>38</v>
      </c>
      <c r="E84" s="5"/>
      <c r="F84" s="5" t="s">
        <v>31</v>
      </c>
      <c r="G84" s="7"/>
      <c r="H84" s="5" t="str">
        <f aca="false">IF($G84="","",IF(LOWER(TRIM($G84))=LOWER(TRIM($F84)),"Match","Mismatch"))</f>
        <v/>
      </c>
      <c r="I84" s="5" t="str">
        <f aca="false">IF($G84="","",IF(LOWER(TRIM($G84))=LOWER(TRIM($E84)),"Match","Mismatch"))</f>
        <v/>
      </c>
      <c r="J84" s="6"/>
    </row>
    <row r="85" customFormat="false" ht="15" hidden="false" customHeight="false" outlineLevel="0" collapsed="false">
      <c r="A85" s="5" t="s">
        <v>25</v>
      </c>
      <c r="B85" s="5" t="s">
        <v>103</v>
      </c>
      <c r="C85" s="5" t="s">
        <v>39</v>
      </c>
      <c r="D85" s="6" t="s">
        <v>40</v>
      </c>
      <c r="E85" s="5"/>
      <c r="F85" s="5" t="s">
        <v>43</v>
      </c>
      <c r="G85" s="7"/>
      <c r="H85" s="5" t="str">
        <f aca="false">IF($G85="","",IF(LOWER(TRIM($G85))=LOWER(TRIM($F85)),"Match","Mismatch"))</f>
        <v/>
      </c>
      <c r="I85" s="5" t="str">
        <f aca="false">IF($G85="","",IF(LOWER(TRIM($G85))=LOWER(TRIM($E85)),"Match","Mismatch"))</f>
        <v/>
      </c>
      <c r="J85" s="6"/>
    </row>
    <row r="86" customFormat="false" ht="23.85" hidden="false" customHeight="false" outlineLevel="0" collapsed="false">
      <c r="A86" s="5" t="s">
        <v>25</v>
      </c>
      <c r="B86" s="5" t="s">
        <v>103</v>
      </c>
      <c r="C86" s="5" t="s">
        <v>39</v>
      </c>
      <c r="D86" s="6" t="s">
        <v>42</v>
      </c>
      <c r="E86" s="5"/>
      <c r="F86" s="5" t="s">
        <v>41</v>
      </c>
      <c r="G86" s="7"/>
      <c r="H86" s="5" t="str">
        <f aca="false">IF($G86="","",IF(LOWER(TRIM($G86))=LOWER(TRIM($F86)),"Match","Mismatch"))</f>
        <v/>
      </c>
      <c r="I86" s="5" t="str">
        <f aca="false">IF($G86="","",IF(LOWER(TRIM($G86))=LOWER(TRIM($E86)),"Match","Mismatch"))</f>
        <v/>
      </c>
      <c r="J86" s="6"/>
    </row>
    <row r="87" customFormat="false" ht="23.85" hidden="false" customHeight="false" outlineLevel="0" collapsed="false">
      <c r="A87" s="5" t="s">
        <v>25</v>
      </c>
      <c r="B87" s="5" t="s">
        <v>103</v>
      </c>
      <c r="C87" s="5" t="s">
        <v>39</v>
      </c>
      <c r="D87" s="6" t="s">
        <v>44</v>
      </c>
      <c r="E87" s="5"/>
      <c r="F87" s="5" t="s">
        <v>43</v>
      </c>
      <c r="G87" s="7"/>
      <c r="H87" s="5" t="str">
        <f aca="false">IF($G87="","",IF(LOWER(TRIM($G87))=LOWER(TRIM($F87)),"Match","Mismatch"))</f>
        <v/>
      </c>
      <c r="I87" s="5" t="str">
        <f aca="false">IF($G87="","",IF(LOWER(TRIM($G87))=LOWER(TRIM($E87)),"Match","Mismatch"))</f>
        <v/>
      </c>
      <c r="J87" s="6"/>
    </row>
    <row r="88" customFormat="false" ht="15" hidden="false" customHeight="false" outlineLevel="0" collapsed="false">
      <c r="A88" s="5" t="s">
        <v>25</v>
      </c>
      <c r="B88" s="5" t="s">
        <v>103</v>
      </c>
      <c r="C88" s="5" t="s">
        <v>39</v>
      </c>
      <c r="D88" s="6" t="s">
        <v>45</v>
      </c>
      <c r="E88" s="5"/>
      <c r="F88" s="5" t="s">
        <v>46</v>
      </c>
      <c r="G88" s="7"/>
      <c r="H88" s="5" t="str">
        <f aca="false">IF($G88="","",IF(LOWER(TRIM($G88))=LOWER(TRIM($F88)),"Match","Mismatch"))</f>
        <v/>
      </c>
      <c r="I88" s="5" t="str">
        <f aca="false">IF($G88="","",IF(LOWER(TRIM($G88))=LOWER(TRIM($E88)),"Match","Mismatch"))</f>
        <v/>
      </c>
      <c r="J88" s="6"/>
    </row>
    <row r="89" customFormat="false" ht="15" hidden="false" customHeight="false" outlineLevel="0" collapsed="false">
      <c r="A89" s="5" t="s">
        <v>25</v>
      </c>
      <c r="B89" s="5" t="s">
        <v>103</v>
      </c>
      <c r="C89" s="5" t="s">
        <v>39</v>
      </c>
      <c r="D89" s="6" t="s">
        <v>47</v>
      </c>
      <c r="E89" s="5"/>
      <c r="F89" s="5" t="s">
        <v>43</v>
      </c>
      <c r="G89" s="7"/>
      <c r="H89" s="5" t="str">
        <f aca="false">IF($G89="","",IF(LOWER(TRIM($G89))=LOWER(TRIM($F89)),"Match","Mismatch"))</f>
        <v/>
      </c>
      <c r="I89" s="5" t="str">
        <f aca="false">IF($G89="","",IF(LOWER(TRIM($G89))=LOWER(TRIM($E89)),"Match","Mismatch"))</f>
        <v/>
      </c>
      <c r="J89" s="6"/>
    </row>
    <row r="90" customFormat="false" ht="15" hidden="false" customHeight="false" outlineLevel="0" collapsed="false">
      <c r="A90" s="5" t="s">
        <v>25</v>
      </c>
      <c r="B90" s="5" t="s">
        <v>103</v>
      </c>
      <c r="C90" s="5" t="s">
        <v>39</v>
      </c>
      <c r="D90" s="6" t="s">
        <v>48</v>
      </c>
      <c r="E90" s="5"/>
      <c r="F90" s="5" t="s">
        <v>41</v>
      </c>
      <c r="G90" s="7"/>
      <c r="H90" s="5" t="str">
        <f aca="false">IF($G90="","",IF(LOWER(TRIM($G90))=LOWER(TRIM($F90)),"Match","Mismatch"))</f>
        <v/>
      </c>
      <c r="I90" s="5" t="str">
        <f aca="false">IF($G90="","",IF(LOWER(TRIM($G90))=LOWER(TRIM($E90)),"Match","Mismatch"))</f>
        <v/>
      </c>
      <c r="J90" s="6"/>
    </row>
    <row r="91" customFormat="false" ht="15" hidden="false" customHeight="false" outlineLevel="0" collapsed="false">
      <c r="A91" s="5" t="s">
        <v>25</v>
      </c>
      <c r="B91" s="5" t="s">
        <v>103</v>
      </c>
      <c r="C91" s="5" t="s">
        <v>39</v>
      </c>
      <c r="D91" s="6" t="s">
        <v>49</v>
      </c>
      <c r="E91" s="5"/>
      <c r="F91" s="5" t="s">
        <v>43</v>
      </c>
      <c r="G91" s="7"/>
      <c r="H91" s="5" t="str">
        <f aca="false">IF($G91="","",IF(LOWER(TRIM($G91))=LOWER(TRIM($F91)),"Match","Mismatch"))</f>
        <v/>
      </c>
      <c r="I91" s="5" t="str">
        <f aca="false">IF($G91="","",IF(LOWER(TRIM($G91))=LOWER(TRIM($E91)),"Match","Mismatch"))</f>
        <v/>
      </c>
      <c r="J91" s="6"/>
    </row>
    <row r="92" customFormat="false" ht="23.85" hidden="false" customHeight="false" outlineLevel="0" collapsed="false">
      <c r="A92" s="5" t="s">
        <v>25</v>
      </c>
      <c r="B92" s="5" t="s">
        <v>103</v>
      </c>
      <c r="C92" s="5" t="s">
        <v>39</v>
      </c>
      <c r="D92" s="6" t="s">
        <v>50</v>
      </c>
      <c r="E92" s="5"/>
      <c r="F92" s="5" t="s">
        <v>43</v>
      </c>
      <c r="G92" s="7"/>
      <c r="H92" s="5" t="str">
        <f aca="false">IF($G92="","",IF(LOWER(TRIM($G92))=LOWER(TRIM($F92)),"Match","Mismatch"))</f>
        <v/>
      </c>
      <c r="I92" s="5" t="str">
        <f aca="false">IF($G92="","",IF(LOWER(TRIM($G92))=LOWER(TRIM($E92)),"Match","Mismatch"))</f>
        <v/>
      </c>
      <c r="J92" s="6"/>
    </row>
    <row r="93" customFormat="false" ht="15" hidden="false" customHeight="false" outlineLevel="0" collapsed="false">
      <c r="A93" s="5" t="s">
        <v>25</v>
      </c>
      <c r="B93" s="5" t="s">
        <v>103</v>
      </c>
      <c r="C93" s="5" t="s">
        <v>39</v>
      </c>
      <c r="D93" s="6" t="s">
        <v>51</v>
      </c>
      <c r="E93" s="5"/>
      <c r="F93" s="5" t="s">
        <v>41</v>
      </c>
      <c r="G93" s="7"/>
      <c r="H93" s="5" t="str">
        <f aca="false">IF($G93="","",IF(LOWER(TRIM($G93))=LOWER(TRIM($F93)),"Match","Mismatch"))</f>
        <v/>
      </c>
      <c r="I93" s="5" t="str">
        <f aca="false">IF($G93="","",IF(LOWER(TRIM($G93))=LOWER(TRIM($E93)),"Match","Mismatch"))</f>
        <v/>
      </c>
      <c r="J93" s="6"/>
    </row>
    <row r="94" customFormat="false" ht="15" hidden="false" customHeight="false" outlineLevel="0" collapsed="false">
      <c r="A94" s="5" t="s">
        <v>25</v>
      </c>
      <c r="B94" s="5" t="s">
        <v>103</v>
      </c>
      <c r="C94" s="5" t="s">
        <v>39</v>
      </c>
      <c r="D94" s="6" t="s">
        <v>52</v>
      </c>
      <c r="E94" s="5"/>
      <c r="F94" s="5" t="s">
        <v>41</v>
      </c>
      <c r="G94" s="7"/>
      <c r="H94" s="5" t="str">
        <f aca="false">IF($G94="","",IF(LOWER(TRIM($G94))=LOWER(TRIM($F94)),"Match","Mismatch"))</f>
        <v/>
      </c>
      <c r="I94" s="5" t="str">
        <f aca="false">IF($G94="","",IF(LOWER(TRIM($G94))=LOWER(TRIM($E94)),"Match","Mismatch"))</f>
        <v/>
      </c>
      <c r="J94" s="6"/>
    </row>
    <row r="95" customFormat="false" ht="15" hidden="false" customHeight="false" outlineLevel="0" collapsed="false">
      <c r="A95" s="5" t="s">
        <v>25</v>
      </c>
      <c r="B95" s="5" t="s">
        <v>103</v>
      </c>
      <c r="C95" s="5" t="s">
        <v>39</v>
      </c>
      <c r="D95" s="6" t="s">
        <v>53</v>
      </c>
      <c r="E95" s="5"/>
      <c r="F95" s="5" t="s">
        <v>43</v>
      </c>
      <c r="G95" s="7"/>
      <c r="H95" s="5" t="str">
        <f aca="false">IF($G95="","",IF(LOWER(TRIM($G95))=LOWER(TRIM($F95)),"Match","Mismatch"))</f>
        <v/>
      </c>
      <c r="I95" s="5" t="str">
        <f aca="false">IF($G95="","",IF(LOWER(TRIM($G95))=LOWER(TRIM($E95)),"Match","Mismatch"))</f>
        <v/>
      </c>
      <c r="J95" s="6"/>
    </row>
    <row r="96" customFormat="false" ht="15" hidden="false" customHeight="false" outlineLevel="0" collapsed="false">
      <c r="A96" s="5" t="s">
        <v>25</v>
      </c>
      <c r="B96" s="5" t="s">
        <v>103</v>
      </c>
      <c r="C96" s="5" t="s">
        <v>39</v>
      </c>
      <c r="D96" s="6" t="s">
        <v>54</v>
      </c>
      <c r="E96" s="5"/>
      <c r="F96" s="5" t="s">
        <v>41</v>
      </c>
      <c r="G96" s="7"/>
      <c r="H96" s="5" t="str">
        <f aca="false">IF($G96="","",IF(LOWER(TRIM($G96))=LOWER(TRIM($F96)),"Match","Mismatch"))</f>
        <v/>
      </c>
      <c r="I96" s="5" t="str">
        <f aca="false">IF($G96="","",IF(LOWER(TRIM($G96))=LOWER(TRIM($E96)),"Match","Mismatch"))</f>
        <v/>
      </c>
      <c r="J96" s="6"/>
    </row>
    <row r="97" customFormat="false" ht="23.85" hidden="false" customHeight="false" outlineLevel="0" collapsed="false">
      <c r="A97" s="5" t="s">
        <v>25</v>
      </c>
      <c r="B97" s="5" t="s">
        <v>103</v>
      </c>
      <c r="C97" s="5" t="s">
        <v>39</v>
      </c>
      <c r="D97" s="6" t="s">
        <v>56</v>
      </c>
      <c r="E97" s="5"/>
      <c r="F97" s="5" t="s">
        <v>43</v>
      </c>
      <c r="G97" s="7"/>
      <c r="H97" s="5" t="str">
        <f aca="false">IF($G97="","",IF(LOWER(TRIM($G97))=LOWER(TRIM($F97)),"Match","Mismatch"))</f>
        <v/>
      </c>
      <c r="I97" s="5" t="str">
        <f aca="false">IF($G97="","",IF(LOWER(TRIM($G97))=LOWER(TRIM($E97)),"Match","Mismatch"))</f>
        <v/>
      </c>
      <c r="J97" s="6"/>
    </row>
    <row r="98" customFormat="false" ht="15" hidden="false" customHeight="false" outlineLevel="0" collapsed="false">
      <c r="A98" s="5" t="s">
        <v>25</v>
      </c>
      <c r="B98" s="5" t="s">
        <v>103</v>
      </c>
      <c r="C98" s="5" t="s">
        <v>39</v>
      </c>
      <c r="D98" s="6" t="s">
        <v>58</v>
      </c>
      <c r="E98" s="5"/>
      <c r="F98" s="5" t="s">
        <v>43</v>
      </c>
      <c r="G98" s="7"/>
      <c r="H98" s="5" t="str">
        <f aca="false">IF($G98="","",IF(LOWER(TRIM($G98))=LOWER(TRIM($F98)),"Match","Mismatch"))</f>
        <v/>
      </c>
      <c r="I98" s="5" t="str">
        <f aca="false">IF($G98="","",IF(LOWER(TRIM($G98))=LOWER(TRIM($E98)),"Match","Mismatch"))</f>
        <v/>
      </c>
      <c r="J98" s="6"/>
    </row>
    <row r="99" customFormat="false" ht="15" hidden="false" customHeight="false" outlineLevel="0" collapsed="false">
      <c r="A99" s="5" t="s">
        <v>25</v>
      </c>
      <c r="B99" s="5" t="s">
        <v>103</v>
      </c>
      <c r="C99" s="5" t="s">
        <v>59</v>
      </c>
      <c r="D99" s="6" t="s">
        <v>60</v>
      </c>
      <c r="E99" s="5"/>
      <c r="F99" s="5" t="s">
        <v>29</v>
      </c>
      <c r="G99" s="7"/>
      <c r="H99" s="5" t="str">
        <f aca="false">IF($G99="","",IF(LOWER(TRIM($G99))=LOWER(TRIM($F99)),"Match","Mismatch"))</f>
        <v/>
      </c>
      <c r="I99" s="5" t="str">
        <f aca="false">IF($G99="","",IF(LOWER(TRIM($G99))=LOWER(TRIM($E99)),"Match","Mismatch"))</f>
        <v/>
      </c>
      <c r="J99" s="6"/>
    </row>
    <row r="100" customFormat="false" ht="23.85" hidden="false" customHeight="false" outlineLevel="0" collapsed="false">
      <c r="A100" s="5" t="s">
        <v>25</v>
      </c>
      <c r="B100" s="5" t="s">
        <v>103</v>
      </c>
      <c r="C100" s="5" t="s">
        <v>59</v>
      </c>
      <c r="D100" s="6" t="s">
        <v>61</v>
      </c>
      <c r="E100" s="5"/>
      <c r="F100" s="5" t="s">
        <v>31</v>
      </c>
      <c r="G100" s="7"/>
      <c r="H100" s="5" t="str">
        <f aca="false">IF($G100="","",IF(LOWER(TRIM($G100))=LOWER(TRIM($F100)),"Match","Mismatch"))</f>
        <v/>
      </c>
      <c r="I100" s="5" t="str">
        <f aca="false">IF($G100="","",IF(LOWER(TRIM($G100))=LOWER(TRIM($E100)),"Match","Mismatch"))</f>
        <v/>
      </c>
      <c r="J100" s="6"/>
    </row>
    <row r="101" customFormat="false" ht="15" hidden="false" customHeight="false" outlineLevel="0" collapsed="false">
      <c r="A101" s="5" t="s">
        <v>25</v>
      </c>
      <c r="B101" s="5" t="s">
        <v>103</v>
      </c>
      <c r="C101" s="5" t="s">
        <v>59</v>
      </c>
      <c r="D101" s="6" t="s">
        <v>62</v>
      </c>
      <c r="E101" s="5"/>
      <c r="F101" s="5" t="s">
        <v>31</v>
      </c>
      <c r="G101" s="7"/>
      <c r="H101" s="5" t="str">
        <f aca="false">IF($G101="","",IF(LOWER(TRIM($G101))=LOWER(TRIM($F101)),"Match","Mismatch"))</f>
        <v/>
      </c>
      <c r="I101" s="5" t="str">
        <f aca="false">IF($G101="","",IF(LOWER(TRIM($G101))=LOWER(TRIM($E101)),"Match","Mismatch"))</f>
        <v/>
      </c>
      <c r="J101" s="6"/>
    </row>
    <row r="102" customFormat="false" ht="15" hidden="false" customHeight="false" outlineLevel="0" collapsed="false">
      <c r="A102" s="5" t="s">
        <v>25</v>
      </c>
      <c r="B102" s="5" t="s">
        <v>103</v>
      </c>
      <c r="C102" s="5" t="s">
        <v>59</v>
      </c>
      <c r="D102" s="6" t="s">
        <v>63</v>
      </c>
      <c r="E102" s="5" t="s">
        <v>106</v>
      </c>
      <c r="F102" s="5" t="s">
        <v>107</v>
      </c>
      <c r="G102" s="7"/>
      <c r="H102" s="5" t="str">
        <f aca="false">IF($G102="","",IF(LOWER(TRIM($G102))=LOWER(TRIM($F102)),"Match","Mismatch"))</f>
        <v/>
      </c>
      <c r="I102" s="5" t="str">
        <f aca="false">IF($G102="","",IF(LOWER(TRIM($G102))=LOWER(TRIM($E102)),"Match","Mismatch"))</f>
        <v/>
      </c>
      <c r="J102" s="6"/>
    </row>
    <row r="103" customFormat="false" ht="23.85" hidden="false" customHeight="false" outlineLevel="0" collapsed="false">
      <c r="A103" s="5" t="s">
        <v>25</v>
      </c>
      <c r="B103" s="5" t="s">
        <v>103</v>
      </c>
      <c r="C103" s="5" t="s">
        <v>59</v>
      </c>
      <c r="D103" s="6" t="s">
        <v>65</v>
      </c>
      <c r="E103" s="5"/>
      <c r="F103" s="5" t="s">
        <v>31</v>
      </c>
      <c r="G103" s="7"/>
      <c r="H103" s="5" t="str">
        <f aca="false">IF($G103="","",IF(LOWER(TRIM($G103))=LOWER(TRIM($F103)),"Match","Mismatch"))</f>
        <v/>
      </c>
      <c r="I103" s="5" t="str">
        <f aca="false">IF($G103="","",IF(LOWER(TRIM($G103))=LOWER(TRIM($E103)),"Match","Mismatch"))</f>
        <v/>
      </c>
      <c r="J103" s="6"/>
    </row>
    <row r="104" customFormat="false" ht="23.85" hidden="false" customHeight="false" outlineLevel="0" collapsed="false">
      <c r="A104" s="5" t="s">
        <v>25</v>
      </c>
      <c r="B104" s="5" t="s">
        <v>103</v>
      </c>
      <c r="C104" s="5" t="s">
        <v>59</v>
      </c>
      <c r="D104" s="6" t="s">
        <v>66</v>
      </c>
      <c r="E104" s="5"/>
      <c r="F104" s="5" t="s">
        <v>31</v>
      </c>
      <c r="G104" s="7"/>
      <c r="H104" s="5" t="str">
        <f aca="false">IF($G104="","",IF(LOWER(TRIM($G104))=LOWER(TRIM($F104)),"Match","Mismatch"))</f>
        <v/>
      </c>
      <c r="I104" s="5" t="str">
        <f aca="false">IF($G104="","",IF(LOWER(TRIM($G104))=LOWER(TRIM($E104)),"Match","Mismatch"))</f>
        <v/>
      </c>
      <c r="J104" s="6"/>
    </row>
    <row r="105" customFormat="false" ht="15" hidden="false" customHeight="false" outlineLevel="0" collapsed="false">
      <c r="A105" s="5" t="s">
        <v>25</v>
      </c>
      <c r="B105" s="5" t="s">
        <v>103</v>
      </c>
      <c r="C105" s="5" t="s">
        <v>67</v>
      </c>
      <c r="D105" s="6" t="s">
        <v>68</v>
      </c>
      <c r="E105" s="5" t="s">
        <v>108</v>
      </c>
      <c r="F105" s="5" t="s">
        <v>109</v>
      </c>
      <c r="G105" s="7"/>
      <c r="H105" s="5" t="str">
        <f aca="false">IF($G105="","",IF(LOWER(TRIM($G105))=LOWER(TRIM($F105)),"Match","Mismatch"))</f>
        <v/>
      </c>
      <c r="I105" s="5" t="str">
        <f aca="false">IF($G105="","",IF(LOWER(TRIM($G105))=LOWER(TRIM($E105)),"Match","Mismatch"))</f>
        <v/>
      </c>
      <c r="J105" s="6"/>
    </row>
    <row r="106" customFormat="false" ht="15" hidden="false" customHeight="false" outlineLevel="0" collapsed="false">
      <c r="A106" s="5" t="s">
        <v>25</v>
      </c>
      <c r="B106" s="5" t="s">
        <v>103</v>
      </c>
      <c r="C106" s="5" t="s">
        <v>70</v>
      </c>
      <c r="D106" s="6" t="s">
        <v>71</v>
      </c>
      <c r="E106" s="5" t="s">
        <v>110</v>
      </c>
      <c r="F106" s="5" t="s">
        <v>111</v>
      </c>
      <c r="G106" s="7"/>
      <c r="H106" s="5" t="str">
        <f aca="false">IF($G106="","",IF(LOWER(TRIM($G106))=LOWER(TRIM($F106)),"Match","Mismatch"))</f>
        <v/>
      </c>
      <c r="I106" s="5" t="str">
        <f aca="false">IF($G106="","",IF(LOWER(TRIM($G106))=LOWER(TRIM($E106)),"Match","Mismatch"))</f>
        <v/>
      </c>
      <c r="J106" s="6"/>
    </row>
    <row r="107" customFormat="false" ht="15" hidden="false" customHeight="false" outlineLevel="0" collapsed="false">
      <c r="A107" s="5" t="s">
        <v>25</v>
      </c>
      <c r="B107" s="5" t="s">
        <v>103</v>
      </c>
      <c r="C107" s="5" t="s">
        <v>70</v>
      </c>
      <c r="D107" s="6" t="s">
        <v>73</v>
      </c>
      <c r="E107" s="5" t="s">
        <v>112</v>
      </c>
      <c r="F107" s="5" t="s">
        <v>113</v>
      </c>
      <c r="G107" s="7"/>
      <c r="H107" s="5" t="str">
        <f aca="false">IF($G107="","",IF(LOWER(TRIM($G107))=LOWER(TRIM($F107)),"Match","Mismatch"))</f>
        <v/>
      </c>
      <c r="I107" s="5" t="str">
        <f aca="false">IF($G107="","",IF(LOWER(TRIM($G107))=LOWER(TRIM($E107)),"Match","Mismatch"))</f>
        <v/>
      </c>
      <c r="J107" s="6"/>
    </row>
    <row r="108" customFormat="false" ht="15" hidden="false" customHeight="false" outlineLevel="0" collapsed="false">
      <c r="A108" s="5" t="s">
        <v>25</v>
      </c>
      <c r="B108" s="5" t="s">
        <v>103</v>
      </c>
      <c r="C108" s="5" t="s">
        <v>70</v>
      </c>
      <c r="D108" s="6" t="s">
        <v>75</v>
      </c>
      <c r="E108" s="5" t="s">
        <v>114</v>
      </c>
      <c r="F108" s="5" t="s">
        <v>115</v>
      </c>
      <c r="G108" s="7"/>
      <c r="H108" s="5" t="str">
        <f aca="false">IF($G108="","",IF(LOWER(TRIM($G108))=LOWER(TRIM($F108)),"Match","Mismatch"))</f>
        <v/>
      </c>
      <c r="I108" s="5" t="str">
        <f aca="false">IF($G108="","",IF(LOWER(TRIM($G108))=LOWER(TRIM($E108)),"Match","Mismatch"))</f>
        <v/>
      </c>
      <c r="J108" s="6"/>
    </row>
    <row r="109" customFormat="false" ht="15" hidden="false" customHeight="false" outlineLevel="0" collapsed="false">
      <c r="A109" s="5" t="s">
        <v>25</v>
      </c>
      <c r="B109" s="5" t="s">
        <v>103</v>
      </c>
      <c r="C109" s="5" t="s">
        <v>70</v>
      </c>
      <c r="D109" s="6" t="s">
        <v>80</v>
      </c>
      <c r="E109" s="5"/>
      <c r="F109" s="5" t="s">
        <v>116</v>
      </c>
      <c r="G109" s="7"/>
      <c r="H109" s="5" t="str">
        <f aca="false">IF($G109="","",IF(LOWER(TRIM($G109))=LOWER(TRIM($F109)),"Match","Mismatch"))</f>
        <v/>
      </c>
      <c r="I109" s="5" t="str">
        <f aca="false">IF($G109="","",IF(LOWER(TRIM($G109))=LOWER(TRIM($E109)),"Match","Mismatch"))</f>
        <v/>
      </c>
      <c r="J109" s="6"/>
    </row>
    <row r="110" customFormat="false" ht="15" hidden="false" customHeight="false" outlineLevel="0" collapsed="false">
      <c r="A110" s="5" t="s">
        <v>25</v>
      </c>
      <c r="B110" s="5" t="s">
        <v>103</v>
      </c>
      <c r="C110" s="5" t="s">
        <v>70</v>
      </c>
      <c r="D110" s="6" t="s">
        <v>82</v>
      </c>
      <c r="E110" s="5" t="s">
        <v>117</v>
      </c>
      <c r="F110" s="5" t="s">
        <v>113</v>
      </c>
      <c r="G110" s="7"/>
      <c r="H110" s="5" t="str">
        <f aca="false">IF($G110="","",IF(LOWER(TRIM($G110))=LOWER(TRIM($F110)),"Match","Mismatch"))</f>
        <v/>
      </c>
      <c r="I110" s="5" t="str">
        <f aca="false">IF($G110="","",IF(LOWER(TRIM($G110))=LOWER(TRIM($E110)),"Match","Mismatch"))</f>
        <v/>
      </c>
      <c r="J110" s="6"/>
    </row>
    <row r="111" customFormat="false" ht="15" hidden="false" customHeight="false" outlineLevel="0" collapsed="false">
      <c r="A111" s="5" t="s">
        <v>25</v>
      </c>
      <c r="B111" s="5" t="s">
        <v>103</v>
      </c>
      <c r="C111" s="5" t="s">
        <v>70</v>
      </c>
      <c r="D111" s="6" t="s">
        <v>84</v>
      </c>
      <c r="E111" s="5" t="s">
        <v>118</v>
      </c>
      <c r="F111" s="5" t="s">
        <v>101</v>
      </c>
      <c r="G111" s="7"/>
      <c r="H111" s="5" t="str">
        <f aca="false">IF($G111="","",IF(LOWER(TRIM($G111))=LOWER(TRIM($F111)),"Match","Mismatch"))</f>
        <v/>
      </c>
      <c r="I111" s="5" t="str">
        <f aca="false">IF($G111="","",IF(LOWER(TRIM($G111))=LOWER(TRIM($E111)),"Match","Mismatch"))</f>
        <v/>
      </c>
      <c r="J111" s="6"/>
    </row>
    <row r="112" customFormat="false" ht="15" hidden="false" customHeight="false" outlineLevel="0" collapsed="false">
      <c r="A112" s="5" t="s">
        <v>25</v>
      </c>
      <c r="B112" s="5" t="s">
        <v>103</v>
      </c>
      <c r="C112" s="5" t="s">
        <v>70</v>
      </c>
      <c r="D112" s="6" t="s">
        <v>86</v>
      </c>
      <c r="E112" s="5" t="s">
        <v>119</v>
      </c>
      <c r="F112" s="5" t="s">
        <v>120</v>
      </c>
      <c r="G112" s="7"/>
      <c r="H112" s="5" t="str">
        <f aca="false">IF($G112="","",IF(LOWER(TRIM($G112))=LOWER(TRIM($F112)),"Match","Mismatch"))</f>
        <v/>
      </c>
      <c r="I112" s="5" t="str">
        <f aca="false">IF($G112="","",IF(LOWER(TRIM($G112))=LOWER(TRIM($E112)),"Match","Mismatch"))</f>
        <v/>
      </c>
      <c r="J112" s="6"/>
    </row>
    <row r="113" customFormat="false" ht="23.85" hidden="false" customHeight="false" outlineLevel="0" collapsed="false">
      <c r="A113" s="5" t="s">
        <v>25</v>
      </c>
      <c r="B113" s="5" t="s">
        <v>121</v>
      </c>
      <c r="C113" s="5" t="s">
        <v>27</v>
      </c>
      <c r="D113" s="6" t="s">
        <v>30</v>
      </c>
      <c r="E113" s="5"/>
      <c r="F113" s="5" t="s">
        <v>31</v>
      </c>
      <c r="G113" s="7"/>
      <c r="H113" s="5" t="str">
        <f aca="false">IF($G113="","",IF(LOWER(TRIM($G113))=LOWER(TRIM($F113)),"Match","Mismatch"))</f>
        <v/>
      </c>
      <c r="I113" s="5" t="str">
        <f aca="false">IF($G113="","",IF(LOWER(TRIM($G113))=LOWER(TRIM($E113)),"Match","Mismatch"))</f>
        <v/>
      </c>
      <c r="J113" s="6"/>
    </row>
    <row r="114" customFormat="false" ht="35.05" hidden="false" customHeight="false" outlineLevel="0" collapsed="false">
      <c r="A114" s="5" t="s">
        <v>25</v>
      </c>
      <c r="B114" s="5" t="s">
        <v>121</v>
      </c>
      <c r="C114" s="5" t="s">
        <v>27</v>
      </c>
      <c r="D114" s="6" t="s">
        <v>32</v>
      </c>
      <c r="E114" s="5" t="s">
        <v>29</v>
      </c>
      <c r="F114" s="5" t="s">
        <v>31</v>
      </c>
      <c r="G114" s="7"/>
      <c r="H114" s="5" t="str">
        <f aca="false">IF($G114="","",IF(LOWER(TRIM($G114))=LOWER(TRIM($F114)),"Match","Mismatch"))</f>
        <v/>
      </c>
      <c r="I114" s="5" t="str">
        <f aca="false">IF($G114="","",IF(LOWER(TRIM($G114))=LOWER(TRIM($E114)),"Match","Mismatch"))</f>
        <v/>
      </c>
      <c r="J114" s="6"/>
    </row>
    <row r="115" customFormat="false" ht="35.05" hidden="false" customHeight="false" outlineLevel="0" collapsed="false">
      <c r="A115" s="5" t="s">
        <v>25</v>
      </c>
      <c r="B115" s="5" t="s">
        <v>121</v>
      </c>
      <c r="C115" s="5" t="s">
        <v>27</v>
      </c>
      <c r="D115" s="6" t="s">
        <v>33</v>
      </c>
      <c r="E115" s="5"/>
      <c r="F115" s="5" t="s">
        <v>31</v>
      </c>
      <c r="G115" s="7"/>
      <c r="H115" s="5" t="str">
        <f aca="false">IF($G115="","",IF(LOWER(TRIM($G115))=LOWER(TRIM($F115)),"Match","Mismatch"))</f>
        <v/>
      </c>
      <c r="I115" s="5" t="str">
        <f aca="false">IF($G115="","",IF(LOWER(TRIM($G115))=LOWER(TRIM($E115)),"Match","Mismatch"))</f>
        <v/>
      </c>
      <c r="J115" s="6"/>
    </row>
    <row r="116" customFormat="false" ht="15" hidden="false" customHeight="false" outlineLevel="0" collapsed="false">
      <c r="A116" s="5" t="s">
        <v>25</v>
      </c>
      <c r="B116" s="5" t="s">
        <v>121</v>
      </c>
      <c r="C116" s="5" t="s">
        <v>27</v>
      </c>
      <c r="D116" s="6" t="s">
        <v>35</v>
      </c>
      <c r="E116" s="5" t="s">
        <v>122</v>
      </c>
      <c r="F116" s="5" t="s">
        <v>123</v>
      </c>
      <c r="G116" s="7"/>
      <c r="H116" s="5" t="str">
        <f aca="false">IF($G116="","",IF(LOWER(TRIM($G116))=LOWER(TRIM($F116)),"Match","Mismatch"))</f>
        <v/>
      </c>
      <c r="I116" s="5" t="str">
        <f aca="false">IF($G116="","",IF(LOWER(TRIM($G116))=LOWER(TRIM($E116)),"Match","Mismatch"))</f>
        <v/>
      </c>
      <c r="J116" s="6"/>
    </row>
    <row r="117" customFormat="false" ht="23.85" hidden="false" customHeight="false" outlineLevel="0" collapsed="false">
      <c r="A117" s="5" t="s">
        <v>25</v>
      </c>
      <c r="B117" s="5" t="s">
        <v>121</v>
      </c>
      <c r="C117" s="5" t="s">
        <v>27</v>
      </c>
      <c r="D117" s="6" t="s">
        <v>37</v>
      </c>
      <c r="E117" s="5"/>
      <c r="F117" s="5" t="s">
        <v>29</v>
      </c>
      <c r="G117" s="7"/>
      <c r="H117" s="5" t="str">
        <f aca="false">IF($G117="","",IF(LOWER(TRIM($G117))=LOWER(TRIM($F117)),"Match","Mismatch"))</f>
        <v/>
      </c>
      <c r="I117" s="5" t="str">
        <f aca="false">IF($G117="","",IF(LOWER(TRIM($G117))=LOWER(TRIM($E117)),"Match","Mismatch"))</f>
        <v/>
      </c>
      <c r="J117" s="6"/>
    </row>
    <row r="118" customFormat="false" ht="15" hidden="false" customHeight="false" outlineLevel="0" collapsed="false">
      <c r="A118" s="5" t="s">
        <v>25</v>
      </c>
      <c r="B118" s="5" t="s">
        <v>121</v>
      </c>
      <c r="C118" s="5" t="s">
        <v>39</v>
      </c>
      <c r="D118" s="6" t="s">
        <v>40</v>
      </c>
      <c r="E118" s="5"/>
      <c r="F118" s="5" t="s">
        <v>55</v>
      </c>
      <c r="G118" s="7"/>
      <c r="H118" s="5" t="str">
        <f aca="false">IF($G118="","",IF(LOWER(TRIM($G118))=LOWER(TRIM($F118)),"Match","Mismatch"))</f>
        <v/>
      </c>
      <c r="I118" s="5" t="str">
        <f aca="false">IF($G118="","",IF(LOWER(TRIM($G118))=LOWER(TRIM($E118)),"Match","Mismatch"))</f>
        <v/>
      </c>
      <c r="J118" s="6"/>
    </row>
    <row r="119" customFormat="false" ht="23.85" hidden="false" customHeight="false" outlineLevel="0" collapsed="false">
      <c r="A119" s="5" t="s">
        <v>25</v>
      </c>
      <c r="B119" s="5" t="s">
        <v>121</v>
      </c>
      <c r="C119" s="5" t="s">
        <v>39</v>
      </c>
      <c r="D119" s="6" t="s">
        <v>42</v>
      </c>
      <c r="E119" s="5"/>
      <c r="F119" s="5" t="s">
        <v>43</v>
      </c>
      <c r="G119" s="7"/>
      <c r="H119" s="5" t="str">
        <f aca="false">IF($G119="","",IF(LOWER(TRIM($G119))=LOWER(TRIM($F119)),"Match","Mismatch"))</f>
        <v/>
      </c>
      <c r="I119" s="5" t="str">
        <f aca="false">IF($G119="","",IF(LOWER(TRIM($G119))=LOWER(TRIM($E119)),"Match","Mismatch"))</f>
        <v/>
      </c>
      <c r="J119" s="6"/>
    </row>
    <row r="120" customFormat="false" ht="23.85" hidden="false" customHeight="false" outlineLevel="0" collapsed="false">
      <c r="A120" s="5" t="s">
        <v>25</v>
      </c>
      <c r="B120" s="5" t="s">
        <v>121</v>
      </c>
      <c r="C120" s="5" t="s">
        <v>39</v>
      </c>
      <c r="D120" s="6" t="s">
        <v>44</v>
      </c>
      <c r="E120" s="5"/>
      <c r="F120" s="5" t="s">
        <v>55</v>
      </c>
      <c r="G120" s="7"/>
      <c r="H120" s="5" t="str">
        <f aca="false">IF($G120="","",IF(LOWER(TRIM($G120))=LOWER(TRIM($F120)),"Match","Mismatch"))</f>
        <v/>
      </c>
      <c r="I120" s="5" t="str">
        <f aca="false">IF($G120="","",IF(LOWER(TRIM($G120))=LOWER(TRIM($E120)),"Match","Mismatch"))</f>
        <v/>
      </c>
      <c r="J120" s="6"/>
    </row>
    <row r="121" customFormat="false" ht="15" hidden="false" customHeight="false" outlineLevel="0" collapsed="false">
      <c r="A121" s="5" t="s">
        <v>25</v>
      </c>
      <c r="B121" s="5" t="s">
        <v>121</v>
      </c>
      <c r="C121" s="5" t="s">
        <v>39</v>
      </c>
      <c r="D121" s="6" t="s">
        <v>45</v>
      </c>
      <c r="E121" s="5"/>
      <c r="F121" s="5" t="s">
        <v>46</v>
      </c>
      <c r="G121" s="7"/>
      <c r="H121" s="5" t="str">
        <f aca="false">IF($G121="","",IF(LOWER(TRIM($G121))=LOWER(TRIM($F121)),"Match","Mismatch"))</f>
        <v/>
      </c>
      <c r="I121" s="5" t="str">
        <f aca="false">IF($G121="","",IF(LOWER(TRIM($G121))=LOWER(TRIM($E121)),"Match","Mismatch"))</f>
        <v/>
      </c>
      <c r="J121" s="6"/>
    </row>
    <row r="122" customFormat="false" ht="15" hidden="false" customHeight="false" outlineLevel="0" collapsed="false">
      <c r="A122" s="5" t="s">
        <v>25</v>
      </c>
      <c r="B122" s="5" t="s">
        <v>121</v>
      </c>
      <c r="C122" s="5" t="s">
        <v>39</v>
      </c>
      <c r="D122" s="6" t="s">
        <v>47</v>
      </c>
      <c r="E122" s="5"/>
      <c r="F122" s="5" t="s">
        <v>43</v>
      </c>
      <c r="G122" s="7"/>
      <c r="H122" s="5" t="str">
        <f aca="false">IF($G122="","",IF(LOWER(TRIM($G122))=LOWER(TRIM($F122)),"Match","Mismatch"))</f>
        <v/>
      </c>
      <c r="I122" s="5" t="str">
        <f aca="false">IF($G122="","",IF(LOWER(TRIM($G122))=LOWER(TRIM($E122)),"Match","Mismatch"))</f>
        <v/>
      </c>
      <c r="J122" s="6"/>
    </row>
    <row r="123" customFormat="false" ht="15" hidden="false" customHeight="false" outlineLevel="0" collapsed="false">
      <c r="A123" s="5" t="s">
        <v>25</v>
      </c>
      <c r="B123" s="5" t="s">
        <v>121</v>
      </c>
      <c r="C123" s="5" t="s">
        <v>39</v>
      </c>
      <c r="D123" s="6" t="s">
        <v>48</v>
      </c>
      <c r="E123" s="5"/>
      <c r="F123" s="5" t="s">
        <v>46</v>
      </c>
      <c r="G123" s="7"/>
      <c r="H123" s="5" t="str">
        <f aca="false">IF($G123="","",IF(LOWER(TRIM($G123))=LOWER(TRIM($F123)),"Match","Mismatch"))</f>
        <v/>
      </c>
      <c r="I123" s="5" t="str">
        <f aca="false">IF($G123="","",IF(LOWER(TRIM($G123))=LOWER(TRIM($E123)),"Match","Mismatch"))</f>
        <v/>
      </c>
      <c r="J123" s="6"/>
    </row>
    <row r="124" customFormat="false" ht="15" hidden="false" customHeight="false" outlineLevel="0" collapsed="false">
      <c r="A124" s="5" t="s">
        <v>25</v>
      </c>
      <c r="B124" s="5" t="s">
        <v>121</v>
      </c>
      <c r="C124" s="5" t="s">
        <v>39</v>
      </c>
      <c r="D124" s="6" t="s">
        <v>49</v>
      </c>
      <c r="E124" s="5"/>
      <c r="F124" s="5" t="s">
        <v>41</v>
      </c>
      <c r="G124" s="7"/>
      <c r="H124" s="5" t="str">
        <f aca="false">IF($G124="","",IF(LOWER(TRIM($G124))=LOWER(TRIM($F124)),"Match","Mismatch"))</f>
        <v/>
      </c>
      <c r="I124" s="5" t="str">
        <f aca="false">IF($G124="","",IF(LOWER(TRIM($G124))=LOWER(TRIM($E124)),"Match","Mismatch"))</f>
        <v/>
      </c>
      <c r="J124" s="6"/>
    </row>
    <row r="125" customFormat="false" ht="23.85" hidden="false" customHeight="false" outlineLevel="0" collapsed="false">
      <c r="A125" s="5" t="s">
        <v>25</v>
      </c>
      <c r="B125" s="5" t="s">
        <v>121</v>
      </c>
      <c r="C125" s="5" t="s">
        <v>39</v>
      </c>
      <c r="D125" s="6" t="s">
        <v>50</v>
      </c>
      <c r="E125" s="5"/>
      <c r="F125" s="5" t="s">
        <v>43</v>
      </c>
      <c r="G125" s="7"/>
      <c r="H125" s="5" t="str">
        <f aca="false">IF($G125="","",IF(LOWER(TRIM($G125))=LOWER(TRIM($F125)),"Match","Mismatch"))</f>
        <v/>
      </c>
      <c r="I125" s="5" t="str">
        <f aca="false">IF($G125="","",IF(LOWER(TRIM($G125))=LOWER(TRIM($E125)),"Match","Mismatch"))</f>
        <v/>
      </c>
      <c r="J125" s="6"/>
    </row>
    <row r="126" customFormat="false" ht="15" hidden="false" customHeight="false" outlineLevel="0" collapsed="false">
      <c r="A126" s="5" t="s">
        <v>25</v>
      </c>
      <c r="B126" s="5" t="s">
        <v>121</v>
      </c>
      <c r="C126" s="5" t="s">
        <v>39</v>
      </c>
      <c r="D126" s="6" t="s">
        <v>51</v>
      </c>
      <c r="E126" s="5"/>
      <c r="F126" s="5" t="s">
        <v>41</v>
      </c>
      <c r="G126" s="7"/>
      <c r="H126" s="5" t="str">
        <f aca="false">IF($G126="","",IF(LOWER(TRIM($G126))=LOWER(TRIM($F126)),"Match","Mismatch"))</f>
        <v/>
      </c>
      <c r="I126" s="5" t="str">
        <f aca="false">IF($G126="","",IF(LOWER(TRIM($G126))=LOWER(TRIM($E126)),"Match","Mismatch"))</f>
        <v/>
      </c>
      <c r="J126" s="6"/>
    </row>
    <row r="127" customFormat="false" ht="15" hidden="false" customHeight="false" outlineLevel="0" collapsed="false">
      <c r="A127" s="5" t="s">
        <v>25</v>
      </c>
      <c r="B127" s="5" t="s">
        <v>121</v>
      </c>
      <c r="C127" s="5" t="s">
        <v>39</v>
      </c>
      <c r="D127" s="6" t="s">
        <v>52</v>
      </c>
      <c r="E127" s="5"/>
      <c r="F127" s="5" t="s">
        <v>41</v>
      </c>
      <c r="G127" s="7"/>
      <c r="H127" s="5" t="str">
        <f aca="false">IF($G127="","",IF(LOWER(TRIM($G127))=LOWER(TRIM($F127)),"Match","Mismatch"))</f>
        <v/>
      </c>
      <c r="I127" s="5" t="str">
        <f aca="false">IF($G127="","",IF(LOWER(TRIM($G127))=LOWER(TRIM($E127)),"Match","Mismatch"))</f>
        <v/>
      </c>
      <c r="J127" s="6"/>
    </row>
    <row r="128" customFormat="false" ht="15" hidden="false" customHeight="false" outlineLevel="0" collapsed="false">
      <c r="A128" s="5" t="s">
        <v>25</v>
      </c>
      <c r="B128" s="5" t="s">
        <v>121</v>
      </c>
      <c r="C128" s="5" t="s">
        <v>39</v>
      </c>
      <c r="D128" s="6" t="s">
        <v>53</v>
      </c>
      <c r="E128" s="5"/>
      <c r="F128" s="5" t="s">
        <v>41</v>
      </c>
      <c r="G128" s="7"/>
      <c r="H128" s="5" t="str">
        <f aca="false">IF($G128="","",IF(LOWER(TRIM($G128))=LOWER(TRIM($F128)),"Match","Mismatch"))</f>
        <v/>
      </c>
      <c r="I128" s="5" t="str">
        <f aca="false">IF($G128="","",IF(LOWER(TRIM($G128))=LOWER(TRIM($E128)),"Match","Mismatch"))</f>
        <v/>
      </c>
      <c r="J128" s="6"/>
    </row>
    <row r="129" customFormat="false" ht="15" hidden="false" customHeight="false" outlineLevel="0" collapsed="false">
      <c r="A129" s="5" t="s">
        <v>25</v>
      </c>
      <c r="B129" s="5" t="s">
        <v>121</v>
      </c>
      <c r="C129" s="5" t="s">
        <v>39</v>
      </c>
      <c r="D129" s="6" t="s">
        <v>54</v>
      </c>
      <c r="E129" s="5"/>
      <c r="F129" s="5" t="s">
        <v>55</v>
      </c>
      <c r="G129" s="7"/>
      <c r="H129" s="5" t="str">
        <f aca="false">IF($G129="","",IF(LOWER(TRIM($G129))=LOWER(TRIM($F129)),"Match","Mismatch"))</f>
        <v/>
      </c>
      <c r="I129" s="5" t="str">
        <f aca="false">IF($G129="","",IF(LOWER(TRIM($G129))=LOWER(TRIM($E129)),"Match","Mismatch"))</f>
        <v/>
      </c>
      <c r="J129" s="6"/>
    </row>
    <row r="130" customFormat="false" ht="23.85" hidden="false" customHeight="false" outlineLevel="0" collapsed="false">
      <c r="A130" s="5" t="s">
        <v>25</v>
      </c>
      <c r="B130" s="5" t="s">
        <v>121</v>
      </c>
      <c r="C130" s="5" t="s">
        <v>39</v>
      </c>
      <c r="D130" s="6" t="s">
        <v>56</v>
      </c>
      <c r="E130" s="5"/>
      <c r="F130" s="5" t="s">
        <v>43</v>
      </c>
      <c r="G130" s="7"/>
      <c r="H130" s="5" t="str">
        <f aca="false">IF($G130="","",IF(LOWER(TRIM($G130))=LOWER(TRIM($F130)),"Match","Mismatch"))</f>
        <v/>
      </c>
      <c r="I130" s="5" t="str">
        <f aca="false">IF($G130="","",IF(LOWER(TRIM($G130))=LOWER(TRIM($E130)),"Match","Mismatch"))</f>
        <v/>
      </c>
      <c r="J130" s="6"/>
    </row>
    <row r="131" customFormat="false" ht="15" hidden="false" customHeight="false" outlineLevel="0" collapsed="false">
      <c r="A131" s="5" t="s">
        <v>25</v>
      </c>
      <c r="B131" s="5" t="s">
        <v>121</v>
      </c>
      <c r="C131" s="5" t="s">
        <v>39</v>
      </c>
      <c r="D131" s="6" t="s">
        <v>57</v>
      </c>
      <c r="E131" s="5"/>
      <c r="F131" s="5" t="s">
        <v>43</v>
      </c>
      <c r="G131" s="7"/>
      <c r="H131" s="5" t="str">
        <f aca="false">IF($G131="","",IF(LOWER(TRIM($G131))=LOWER(TRIM($F131)),"Match","Mismatch"))</f>
        <v/>
      </c>
      <c r="I131" s="5" t="str">
        <f aca="false">IF($G131="","",IF(LOWER(TRIM($G131))=LOWER(TRIM($E131)),"Match","Mismatch"))</f>
        <v/>
      </c>
      <c r="J131" s="6"/>
    </row>
    <row r="132" customFormat="false" ht="15" hidden="false" customHeight="false" outlineLevel="0" collapsed="false">
      <c r="A132" s="5" t="s">
        <v>25</v>
      </c>
      <c r="B132" s="5" t="s">
        <v>121</v>
      </c>
      <c r="C132" s="5" t="s">
        <v>39</v>
      </c>
      <c r="D132" s="6" t="s">
        <v>58</v>
      </c>
      <c r="E132" s="5"/>
      <c r="F132" s="5" t="s">
        <v>43</v>
      </c>
      <c r="G132" s="7"/>
      <c r="H132" s="5" t="str">
        <f aca="false">IF($G132="","",IF(LOWER(TRIM($G132))=LOWER(TRIM($F132)),"Match","Mismatch"))</f>
        <v/>
      </c>
      <c r="I132" s="5" t="str">
        <f aca="false">IF($G132="","",IF(LOWER(TRIM($G132))=LOWER(TRIM($E132)),"Match","Mismatch"))</f>
        <v/>
      </c>
      <c r="J132" s="6"/>
    </row>
    <row r="133" customFormat="false" ht="15" hidden="false" customHeight="false" outlineLevel="0" collapsed="false">
      <c r="A133" s="5" t="s">
        <v>25</v>
      </c>
      <c r="B133" s="5" t="s">
        <v>121</v>
      </c>
      <c r="C133" s="5" t="s">
        <v>59</v>
      </c>
      <c r="D133" s="6" t="s">
        <v>60</v>
      </c>
      <c r="E133" s="5" t="s">
        <v>29</v>
      </c>
      <c r="F133" s="5" t="s">
        <v>31</v>
      </c>
      <c r="G133" s="7"/>
      <c r="H133" s="5" t="str">
        <f aca="false">IF($G133="","",IF(LOWER(TRIM($G133))=LOWER(TRIM($F133)),"Match","Mismatch"))</f>
        <v/>
      </c>
      <c r="I133" s="5" t="str">
        <f aca="false">IF($G133="","",IF(LOWER(TRIM($G133))=LOWER(TRIM($E133)),"Match","Mismatch"))</f>
        <v/>
      </c>
      <c r="J133" s="6"/>
    </row>
    <row r="134" customFormat="false" ht="23.85" hidden="false" customHeight="false" outlineLevel="0" collapsed="false">
      <c r="A134" s="5" t="s">
        <v>25</v>
      </c>
      <c r="B134" s="5" t="s">
        <v>121</v>
      </c>
      <c r="C134" s="5" t="s">
        <v>59</v>
      </c>
      <c r="D134" s="6" t="s">
        <v>61</v>
      </c>
      <c r="E134" s="5" t="s">
        <v>29</v>
      </c>
      <c r="F134" s="5" t="s">
        <v>31</v>
      </c>
      <c r="G134" s="7"/>
      <c r="H134" s="5" t="str">
        <f aca="false">IF($G134="","",IF(LOWER(TRIM($G134))=LOWER(TRIM($F134)),"Match","Mismatch"))</f>
        <v/>
      </c>
      <c r="I134" s="5" t="str">
        <f aca="false">IF($G134="","",IF(LOWER(TRIM($G134))=LOWER(TRIM($E134)),"Match","Mismatch"))</f>
        <v/>
      </c>
      <c r="J134" s="6"/>
    </row>
    <row r="135" customFormat="false" ht="15" hidden="false" customHeight="false" outlineLevel="0" collapsed="false">
      <c r="A135" s="5" t="s">
        <v>25</v>
      </c>
      <c r="B135" s="5" t="s">
        <v>121</v>
      </c>
      <c r="C135" s="5" t="s">
        <v>59</v>
      </c>
      <c r="D135" s="6" t="s">
        <v>62</v>
      </c>
      <c r="E135" s="5" t="s">
        <v>29</v>
      </c>
      <c r="F135" s="5" t="s">
        <v>31</v>
      </c>
      <c r="G135" s="7"/>
      <c r="H135" s="5" t="str">
        <f aca="false">IF($G135="","",IF(LOWER(TRIM($G135))=LOWER(TRIM($F135)),"Match","Mismatch"))</f>
        <v/>
      </c>
      <c r="I135" s="5" t="str">
        <f aca="false">IF($G135="","",IF(LOWER(TRIM($G135))=LOWER(TRIM($E135)),"Match","Mismatch"))</f>
        <v/>
      </c>
      <c r="J135" s="6"/>
    </row>
    <row r="136" customFormat="false" ht="15" hidden="false" customHeight="false" outlineLevel="0" collapsed="false">
      <c r="A136" s="5" t="s">
        <v>25</v>
      </c>
      <c r="B136" s="5" t="s">
        <v>121</v>
      </c>
      <c r="C136" s="5" t="s">
        <v>59</v>
      </c>
      <c r="D136" s="6" t="s">
        <v>63</v>
      </c>
      <c r="E136" s="5" t="s">
        <v>124</v>
      </c>
      <c r="F136" s="5" t="s">
        <v>125</v>
      </c>
      <c r="G136" s="7"/>
      <c r="H136" s="5" t="str">
        <f aca="false">IF($G136="","",IF(LOWER(TRIM($G136))=LOWER(TRIM($F136)),"Match","Mismatch"))</f>
        <v/>
      </c>
      <c r="I136" s="5" t="str">
        <f aca="false">IF($G136="","",IF(LOWER(TRIM($G136))=LOWER(TRIM($E136)),"Match","Mismatch"))</f>
        <v/>
      </c>
      <c r="J136" s="6"/>
    </row>
    <row r="137" customFormat="false" ht="23.85" hidden="false" customHeight="false" outlineLevel="0" collapsed="false">
      <c r="A137" s="5" t="s">
        <v>25</v>
      </c>
      <c r="B137" s="5" t="s">
        <v>121</v>
      </c>
      <c r="C137" s="5" t="s">
        <v>59</v>
      </c>
      <c r="D137" s="6" t="s">
        <v>65</v>
      </c>
      <c r="E137" s="5" t="s">
        <v>29</v>
      </c>
      <c r="F137" s="5" t="s">
        <v>31</v>
      </c>
      <c r="G137" s="7"/>
      <c r="H137" s="5" t="str">
        <f aca="false">IF($G137="","",IF(LOWER(TRIM($G137))=LOWER(TRIM($F137)),"Match","Mismatch"))</f>
        <v/>
      </c>
      <c r="I137" s="5" t="str">
        <f aca="false">IF($G137="","",IF(LOWER(TRIM($G137))=LOWER(TRIM($E137)),"Match","Mismatch"))</f>
        <v/>
      </c>
      <c r="J137" s="6"/>
    </row>
    <row r="138" customFormat="false" ht="23.85" hidden="false" customHeight="false" outlineLevel="0" collapsed="false">
      <c r="A138" s="5" t="s">
        <v>25</v>
      </c>
      <c r="B138" s="5" t="s">
        <v>121</v>
      </c>
      <c r="C138" s="5" t="s">
        <v>59</v>
      </c>
      <c r="D138" s="6" t="s">
        <v>66</v>
      </c>
      <c r="E138" s="5" t="s">
        <v>29</v>
      </c>
      <c r="F138" s="5" t="s">
        <v>31</v>
      </c>
      <c r="G138" s="7"/>
      <c r="H138" s="5" t="str">
        <f aca="false">IF($G138="","",IF(LOWER(TRIM($G138))=LOWER(TRIM($F138)),"Match","Mismatch"))</f>
        <v/>
      </c>
      <c r="I138" s="5" t="str">
        <f aca="false">IF($G138="","",IF(LOWER(TRIM($G138))=LOWER(TRIM($E138)),"Match","Mismatch"))</f>
        <v/>
      </c>
      <c r="J138" s="6"/>
    </row>
    <row r="139" customFormat="false" ht="15" hidden="false" customHeight="false" outlineLevel="0" collapsed="false">
      <c r="A139" s="5" t="s">
        <v>25</v>
      </c>
      <c r="B139" s="5" t="s">
        <v>121</v>
      </c>
      <c r="C139" s="5" t="s">
        <v>67</v>
      </c>
      <c r="D139" s="6" t="s">
        <v>68</v>
      </c>
      <c r="E139" s="5" t="s">
        <v>126</v>
      </c>
      <c r="F139" s="5" t="s">
        <v>127</v>
      </c>
      <c r="G139" s="7"/>
      <c r="H139" s="5" t="str">
        <f aca="false">IF($G139="","",IF(LOWER(TRIM($G139))=LOWER(TRIM($F139)),"Match","Mismatch"))</f>
        <v/>
      </c>
      <c r="I139" s="5" t="str">
        <f aca="false">IF($G139="","",IF(LOWER(TRIM($G139))=LOWER(TRIM($E139)),"Match","Mismatch"))</f>
        <v/>
      </c>
      <c r="J139" s="6"/>
    </row>
    <row r="140" customFormat="false" ht="15" hidden="false" customHeight="false" outlineLevel="0" collapsed="false">
      <c r="A140" s="5" t="s">
        <v>25</v>
      </c>
      <c r="B140" s="5" t="s">
        <v>121</v>
      </c>
      <c r="C140" s="5" t="s">
        <v>70</v>
      </c>
      <c r="D140" s="6" t="s">
        <v>71</v>
      </c>
      <c r="E140" s="5" t="s">
        <v>128</v>
      </c>
      <c r="F140" s="5" t="s">
        <v>129</v>
      </c>
      <c r="G140" s="7"/>
      <c r="H140" s="5" t="str">
        <f aca="false">IF($G140="","",IF(LOWER(TRIM($G140))=LOWER(TRIM($F140)),"Match","Mismatch"))</f>
        <v/>
      </c>
      <c r="I140" s="5" t="str">
        <f aca="false">IF($G140="","",IF(LOWER(TRIM($G140))=LOWER(TRIM($E140)),"Match","Mismatch"))</f>
        <v/>
      </c>
      <c r="J140" s="6"/>
    </row>
    <row r="141" customFormat="false" ht="15" hidden="false" customHeight="false" outlineLevel="0" collapsed="false">
      <c r="A141" s="5" t="s">
        <v>25</v>
      </c>
      <c r="B141" s="5" t="s">
        <v>121</v>
      </c>
      <c r="C141" s="5" t="s">
        <v>70</v>
      </c>
      <c r="D141" s="6" t="s">
        <v>73</v>
      </c>
      <c r="E141" s="5" t="s">
        <v>130</v>
      </c>
      <c r="F141" s="5" t="s">
        <v>131</v>
      </c>
      <c r="G141" s="7"/>
      <c r="H141" s="5" t="str">
        <f aca="false">IF($G141="","",IF(LOWER(TRIM($G141))=LOWER(TRIM($F141)),"Match","Mismatch"))</f>
        <v/>
      </c>
      <c r="I141" s="5" t="str">
        <f aca="false">IF($G141="","",IF(LOWER(TRIM($G141))=LOWER(TRIM($E141)),"Match","Mismatch"))</f>
        <v/>
      </c>
      <c r="J141" s="6"/>
    </row>
    <row r="142" customFormat="false" ht="15" hidden="false" customHeight="false" outlineLevel="0" collapsed="false">
      <c r="A142" s="5" t="s">
        <v>25</v>
      </c>
      <c r="B142" s="5" t="s">
        <v>121</v>
      </c>
      <c r="C142" s="5" t="s">
        <v>70</v>
      </c>
      <c r="D142" s="6" t="s">
        <v>75</v>
      </c>
      <c r="E142" s="5" t="s">
        <v>132</v>
      </c>
      <c r="F142" s="5" t="s">
        <v>133</v>
      </c>
      <c r="G142" s="7"/>
      <c r="H142" s="5" t="str">
        <f aca="false">IF($G142="","",IF(LOWER(TRIM($G142))=LOWER(TRIM($F142)),"Match","Mismatch"))</f>
        <v/>
      </c>
      <c r="I142" s="5" t="str">
        <f aca="false">IF($G142="","",IF(LOWER(TRIM($G142))=LOWER(TRIM($E142)),"Match","Mismatch"))</f>
        <v/>
      </c>
      <c r="J142" s="6"/>
    </row>
    <row r="143" customFormat="false" ht="15" hidden="false" customHeight="false" outlineLevel="0" collapsed="false">
      <c r="A143" s="5" t="s">
        <v>25</v>
      </c>
      <c r="B143" s="5" t="s">
        <v>121</v>
      </c>
      <c r="C143" s="5" t="s">
        <v>70</v>
      </c>
      <c r="D143" s="6" t="s">
        <v>77</v>
      </c>
      <c r="E143" s="5" t="s">
        <v>134</v>
      </c>
      <c r="F143" s="5" t="s">
        <v>135</v>
      </c>
      <c r="G143" s="7"/>
      <c r="H143" s="5" t="str">
        <f aca="false">IF($G143="","",IF(LOWER(TRIM($G143))=LOWER(TRIM($F143)),"Match","Mismatch"))</f>
        <v/>
      </c>
      <c r="I143" s="5" t="str">
        <f aca="false">IF($G143="","",IF(LOWER(TRIM($G143))=LOWER(TRIM($E143)),"Match","Mismatch"))</f>
        <v/>
      </c>
      <c r="J143" s="6"/>
    </row>
    <row r="144" customFormat="false" ht="15" hidden="false" customHeight="false" outlineLevel="0" collapsed="false">
      <c r="A144" s="5" t="s">
        <v>25</v>
      </c>
      <c r="B144" s="5" t="s">
        <v>121</v>
      </c>
      <c r="C144" s="5" t="s">
        <v>70</v>
      </c>
      <c r="D144" s="6" t="s">
        <v>80</v>
      </c>
      <c r="E144" s="5" t="s">
        <v>136</v>
      </c>
      <c r="F144" s="5" t="s">
        <v>137</v>
      </c>
      <c r="G144" s="7"/>
      <c r="H144" s="5" t="str">
        <f aca="false">IF($G144="","",IF(LOWER(TRIM($G144))=LOWER(TRIM($F144)),"Match","Mismatch"))</f>
        <v/>
      </c>
      <c r="I144" s="5" t="str">
        <f aca="false">IF($G144="","",IF(LOWER(TRIM($G144))=LOWER(TRIM($E144)),"Match","Mismatch"))</f>
        <v/>
      </c>
      <c r="J144" s="6"/>
    </row>
    <row r="145" customFormat="false" ht="15" hidden="false" customHeight="false" outlineLevel="0" collapsed="false">
      <c r="A145" s="5" t="s">
        <v>25</v>
      </c>
      <c r="B145" s="5" t="s">
        <v>121</v>
      </c>
      <c r="C145" s="5" t="s">
        <v>70</v>
      </c>
      <c r="D145" s="6" t="s">
        <v>82</v>
      </c>
      <c r="E145" s="5" t="s">
        <v>136</v>
      </c>
      <c r="F145" s="5" t="s">
        <v>138</v>
      </c>
      <c r="G145" s="7"/>
      <c r="H145" s="5" t="str">
        <f aca="false">IF($G145="","",IF(LOWER(TRIM($G145))=LOWER(TRIM($F145)),"Match","Mismatch"))</f>
        <v/>
      </c>
      <c r="I145" s="5" t="str">
        <f aca="false">IF($G145="","",IF(LOWER(TRIM($G145))=LOWER(TRIM($E145)),"Match","Mismatch"))</f>
        <v/>
      </c>
      <c r="J145" s="6"/>
    </row>
    <row r="146" customFormat="false" ht="15" hidden="false" customHeight="false" outlineLevel="0" collapsed="false">
      <c r="A146" s="5" t="s">
        <v>25</v>
      </c>
      <c r="B146" s="5" t="s">
        <v>121</v>
      </c>
      <c r="C146" s="5" t="s">
        <v>70</v>
      </c>
      <c r="D146" s="6" t="s">
        <v>84</v>
      </c>
      <c r="E146" s="5" t="s">
        <v>139</v>
      </c>
      <c r="F146" s="5" t="s">
        <v>101</v>
      </c>
      <c r="G146" s="7"/>
      <c r="H146" s="5" t="str">
        <f aca="false">IF($G146="","",IF(LOWER(TRIM($G146))=LOWER(TRIM($F146)),"Match","Mismatch"))</f>
        <v/>
      </c>
      <c r="I146" s="5" t="str">
        <f aca="false">IF($G146="","",IF(LOWER(TRIM($G146))=LOWER(TRIM($E146)),"Match","Mismatch"))</f>
        <v/>
      </c>
      <c r="J146" s="6"/>
    </row>
    <row r="147" customFormat="false" ht="15" hidden="false" customHeight="false" outlineLevel="0" collapsed="false">
      <c r="A147" s="5" t="s">
        <v>25</v>
      </c>
      <c r="B147" s="5" t="s">
        <v>121</v>
      </c>
      <c r="C147" s="5" t="s">
        <v>70</v>
      </c>
      <c r="D147" s="6" t="s">
        <v>86</v>
      </c>
      <c r="E147" s="5" t="s">
        <v>140</v>
      </c>
      <c r="F147" s="5" t="s">
        <v>141</v>
      </c>
      <c r="G147" s="7"/>
      <c r="H147" s="5" t="str">
        <f aca="false">IF($G147="","",IF(LOWER(TRIM($G147))=LOWER(TRIM($F147)),"Match","Mismatch"))</f>
        <v/>
      </c>
      <c r="I147" s="5" t="str">
        <f aca="false">IF($G147="","",IF(LOWER(TRIM($G147))=LOWER(TRIM($E147)),"Match","Mismatch"))</f>
        <v/>
      </c>
      <c r="J147" s="6"/>
    </row>
    <row r="148" customFormat="false" ht="23.85" hidden="false" customHeight="false" outlineLevel="0" collapsed="false">
      <c r="A148" s="5" t="s">
        <v>25</v>
      </c>
      <c r="B148" s="5" t="s">
        <v>142</v>
      </c>
      <c r="C148" s="5" t="s">
        <v>27</v>
      </c>
      <c r="D148" s="6" t="s">
        <v>28</v>
      </c>
      <c r="E148" s="5" t="s">
        <v>29</v>
      </c>
      <c r="F148" s="5" t="s">
        <v>31</v>
      </c>
      <c r="G148" s="7"/>
      <c r="H148" s="5" t="str">
        <f aca="false">IF($G148="","",IF(LOWER(TRIM($G148))=LOWER(TRIM($F148)),"Match","Mismatch"))</f>
        <v/>
      </c>
      <c r="I148" s="5" t="str">
        <f aca="false">IF($G148="","",IF(LOWER(TRIM($G148))=LOWER(TRIM($E148)),"Match","Mismatch"))</f>
        <v/>
      </c>
      <c r="J148" s="6"/>
    </row>
    <row r="149" customFormat="false" ht="23.85" hidden="false" customHeight="false" outlineLevel="0" collapsed="false">
      <c r="A149" s="5" t="s">
        <v>25</v>
      </c>
      <c r="B149" s="5" t="s">
        <v>142</v>
      </c>
      <c r="C149" s="5" t="s">
        <v>27</v>
      </c>
      <c r="D149" s="6" t="s">
        <v>30</v>
      </c>
      <c r="E149" s="5"/>
      <c r="F149" s="5" t="s">
        <v>31</v>
      </c>
      <c r="G149" s="7"/>
      <c r="H149" s="5" t="str">
        <f aca="false">IF($G149="","",IF(LOWER(TRIM($G149))=LOWER(TRIM($F149)),"Match","Mismatch"))</f>
        <v/>
      </c>
      <c r="I149" s="5" t="str">
        <f aca="false">IF($G149="","",IF(LOWER(TRIM($G149))=LOWER(TRIM($E149)),"Match","Mismatch"))</f>
        <v/>
      </c>
      <c r="J149" s="6"/>
    </row>
    <row r="150" customFormat="false" ht="35.05" hidden="false" customHeight="false" outlineLevel="0" collapsed="false">
      <c r="A150" s="5" t="s">
        <v>25</v>
      </c>
      <c r="B150" s="5" t="s">
        <v>142</v>
      </c>
      <c r="C150" s="5" t="s">
        <v>27</v>
      </c>
      <c r="D150" s="6" t="s">
        <v>32</v>
      </c>
      <c r="E150" s="5" t="s">
        <v>29</v>
      </c>
      <c r="F150" s="5" t="s">
        <v>31</v>
      </c>
      <c r="G150" s="7"/>
      <c r="H150" s="5" t="str">
        <f aca="false">IF($G150="","",IF(LOWER(TRIM($G150))=LOWER(TRIM($F150)),"Match","Mismatch"))</f>
        <v/>
      </c>
      <c r="I150" s="5" t="str">
        <f aca="false">IF($G150="","",IF(LOWER(TRIM($G150))=LOWER(TRIM($E150)),"Match","Mismatch"))</f>
        <v/>
      </c>
      <c r="J150" s="6"/>
    </row>
    <row r="151" customFormat="false" ht="35.05" hidden="false" customHeight="false" outlineLevel="0" collapsed="false">
      <c r="A151" s="5" t="s">
        <v>25</v>
      </c>
      <c r="B151" s="5" t="s">
        <v>142</v>
      </c>
      <c r="C151" s="5" t="s">
        <v>27</v>
      </c>
      <c r="D151" s="6" t="s">
        <v>33</v>
      </c>
      <c r="E151" s="5"/>
      <c r="F151" s="5" t="s">
        <v>31</v>
      </c>
      <c r="G151" s="7"/>
      <c r="H151" s="5" t="str">
        <f aca="false">IF($G151="","",IF(LOWER(TRIM($G151))=LOWER(TRIM($F151)),"Match","Mismatch"))</f>
        <v/>
      </c>
      <c r="I151" s="5" t="str">
        <f aca="false">IF($G151="","",IF(LOWER(TRIM($G151))=LOWER(TRIM($E151)),"Match","Mismatch"))</f>
        <v/>
      </c>
      <c r="J151" s="6"/>
    </row>
    <row r="152" customFormat="false" ht="23.85" hidden="false" customHeight="false" outlineLevel="0" collapsed="false">
      <c r="A152" s="5" t="s">
        <v>25</v>
      </c>
      <c r="B152" s="5" t="s">
        <v>142</v>
      </c>
      <c r="C152" s="5" t="s">
        <v>27</v>
      </c>
      <c r="D152" s="6" t="s">
        <v>34</v>
      </c>
      <c r="E152" s="5"/>
      <c r="F152" s="5" t="s">
        <v>31</v>
      </c>
      <c r="G152" s="7"/>
      <c r="H152" s="5" t="str">
        <f aca="false">IF($G152="","",IF(LOWER(TRIM($G152))=LOWER(TRIM($F152)),"Match","Mismatch"))</f>
        <v/>
      </c>
      <c r="I152" s="5" t="str">
        <f aca="false">IF($G152="","",IF(LOWER(TRIM($G152))=LOWER(TRIM($E152)),"Match","Mismatch"))</f>
        <v/>
      </c>
      <c r="J152" s="6"/>
    </row>
    <row r="153" customFormat="false" ht="15" hidden="false" customHeight="false" outlineLevel="0" collapsed="false">
      <c r="A153" s="5" t="s">
        <v>25</v>
      </c>
      <c r="B153" s="5" t="s">
        <v>142</v>
      </c>
      <c r="C153" s="5" t="s">
        <v>27</v>
      </c>
      <c r="D153" s="6" t="s">
        <v>35</v>
      </c>
      <c r="E153" s="5" t="s">
        <v>143</v>
      </c>
      <c r="F153" s="5" t="s">
        <v>144</v>
      </c>
      <c r="G153" s="7"/>
      <c r="H153" s="5" t="str">
        <f aca="false">IF($G153="","",IF(LOWER(TRIM($G153))=LOWER(TRIM($F153)),"Match","Mismatch"))</f>
        <v/>
      </c>
      <c r="I153" s="5" t="str">
        <f aca="false">IF($G153="","",IF(LOWER(TRIM($G153))=LOWER(TRIM($E153)),"Match","Mismatch"))</f>
        <v/>
      </c>
      <c r="J153" s="6"/>
    </row>
    <row r="154" customFormat="false" ht="23.85" hidden="false" customHeight="false" outlineLevel="0" collapsed="false">
      <c r="A154" s="5" t="s">
        <v>25</v>
      </c>
      <c r="B154" s="5" t="s">
        <v>142</v>
      </c>
      <c r="C154" s="5" t="s">
        <v>27</v>
      </c>
      <c r="D154" s="6" t="s">
        <v>37</v>
      </c>
      <c r="E154" s="5"/>
      <c r="F154" s="5" t="s">
        <v>31</v>
      </c>
      <c r="G154" s="7"/>
      <c r="H154" s="5" t="str">
        <f aca="false">IF($G154="","",IF(LOWER(TRIM($G154))=LOWER(TRIM($F154)),"Match","Mismatch"))</f>
        <v/>
      </c>
      <c r="I154" s="5" t="str">
        <f aca="false">IF($G154="","",IF(LOWER(TRIM($G154))=LOWER(TRIM($E154)),"Match","Mismatch"))</f>
        <v/>
      </c>
      <c r="J154" s="6"/>
    </row>
    <row r="155" customFormat="false" ht="23.85" hidden="false" customHeight="false" outlineLevel="0" collapsed="false">
      <c r="A155" s="5" t="s">
        <v>25</v>
      </c>
      <c r="B155" s="5" t="s">
        <v>142</v>
      </c>
      <c r="C155" s="5" t="s">
        <v>27</v>
      </c>
      <c r="D155" s="6" t="s">
        <v>38</v>
      </c>
      <c r="E155" s="5"/>
      <c r="F155" s="5" t="s">
        <v>31</v>
      </c>
      <c r="G155" s="7"/>
      <c r="H155" s="5" t="str">
        <f aca="false">IF($G155="","",IF(LOWER(TRIM($G155))=LOWER(TRIM($F155)),"Match","Mismatch"))</f>
        <v/>
      </c>
      <c r="I155" s="5" t="str">
        <f aca="false">IF($G155="","",IF(LOWER(TRIM($G155))=LOWER(TRIM($E155)),"Match","Mismatch"))</f>
        <v/>
      </c>
      <c r="J155" s="6"/>
    </row>
    <row r="156" customFormat="false" ht="15" hidden="false" customHeight="false" outlineLevel="0" collapsed="false">
      <c r="A156" s="5" t="s">
        <v>25</v>
      </c>
      <c r="B156" s="5" t="s">
        <v>142</v>
      </c>
      <c r="C156" s="5" t="s">
        <v>39</v>
      </c>
      <c r="D156" s="6" t="s">
        <v>40</v>
      </c>
      <c r="E156" s="5"/>
      <c r="F156" s="5" t="s">
        <v>55</v>
      </c>
      <c r="G156" s="7"/>
      <c r="H156" s="5" t="str">
        <f aca="false">IF($G156="","",IF(LOWER(TRIM($G156))=LOWER(TRIM($F156)),"Match","Mismatch"))</f>
        <v/>
      </c>
      <c r="I156" s="5" t="str">
        <f aca="false">IF($G156="","",IF(LOWER(TRIM($G156))=LOWER(TRIM($E156)),"Match","Mismatch"))</f>
        <v/>
      </c>
      <c r="J156" s="6"/>
    </row>
    <row r="157" customFormat="false" ht="23.85" hidden="false" customHeight="false" outlineLevel="0" collapsed="false">
      <c r="A157" s="5" t="s">
        <v>25</v>
      </c>
      <c r="B157" s="5" t="s">
        <v>142</v>
      </c>
      <c r="C157" s="5" t="s">
        <v>39</v>
      </c>
      <c r="D157" s="6" t="s">
        <v>42</v>
      </c>
      <c r="E157" s="5" t="s">
        <v>41</v>
      </c>
      <c r="F157" s="5" t="s">
        <v>55</v>
      </c>
      <c r="G157" s="7"/>
      <c r="H157" s="5" t="str">
        <f aca="false">IF($G157="","",IF(LOWER(TRIM($G157))=LOWER(TRIM($F157)),"Match","Mismatch"))</f>
        <v/>
      </c>
      <c r="I157" s="5" t="str">
        <f aca="false">IF($G157="","",IF(LOWER(TRIM($G157))=LOWER(TRIM($E157)),"Match","Mismatch"))</f>
        <v/>
      </c>
      <c r="J157" s="6"/>
    </row>
    <row r="158" customFormat="false" ht="23.85" hidden="false" customHeight="false" outlineLevel="0" collapsed="false">
      <c r="A158" s="5" t="s">
        <v>25</v>
      </c>
      <c r="B158" s="5" t="s">
        <v>142</v>
      </c>
      <c r="C158" s="5" t="s">
        <v>39</v>
      </c>
      <c r="D158" s="6" t="s">
        <v>44</v>
      </c>
      <c r="E158" s="5" t="s">
        <v>41</v>
      </c>
      <c r="F158" s="5" t="s">
        <v>43</v>
      </c>
      <c r="G158" s="7"/>
      <c r="H158" s="5" t="str">
        <f aca="false">IF($G158="","",IF(LOWER(TRIM($G158))=LOWER(TRIM($F158)),"Match","Mismatch"))</f>
        <v/>
      </c>
      <c r="I158" s="5" t="str">
        <f aca="false">IF($G158="","",IF(LOWER(TRIM($G158))=LOWER(TRIM($E158)),"Match","Mismatch"))</f>
        <v/>
      </c>
      <c r="J158" s="6"/>
    </row>
    <row r="159" customFormat="false" ht="15" hidden="false" customHeight="false" outlineLevel="0" collapsed="false">
      <c r="A159" s="5" t="s">
        <v>25</v>
      </c>
      <c r="B159" s="5" t="s">
        <v>142</v>
      </c>
      <c r="C159" s="5" t="s">
        <v>39</v>
      </c>
      <c r="D159" s="6" t="s">
        <v>45</v>
      </c>
      <c r="E159" s="5" t="s">
        <v>41</v>
      </c>
      <c r="F159" s="5" t="s">
        <v>46</v>
      </c>
      <c r="G159" s="7"/>
      <c r="H159" s="5" t="str">
        <f aca="false">IF($G159="","",IF(LOWER(TRIM($G159))=LOWER(TRIM($F159)),"Match","Mismatch"))</f>
        <v/>
      </c>
      <c r="I159" s="5" t="str">
        <f aca="false">IF($G159="","",IF(LOWER(TRIM($G159))=LOWER(TRIM($E159)),"Match","Mismatch"))</f>
        <v/>
      </c>
      <c r="J159" s="6"/>
    </row>
    <row r="160" customFormat="false" ht="15" hidden="false" customHeight="false" outlineLevel="0" collapsed="false">
      <c r="A160" s="5" t="s">
        <v>25</v>
      </c>
      <c r="B160" s="5" t="s">
        <v>142</v>
      </c>
      <c r="C160" s="5" t="s">
        <v>39</v>
      </c>
      <c r="D160" s="6" t="s">
        <v>47</v>
      </c>
      <c r="E160" s="5" t="s">
        <v>41</v>
      </c>
      <c r="F160" s="5" t="s">
        <v>43</v>
      </c>
      <c r="G160" s="7"/>
      <c r="H160" s="5" t="str">
        <f aca="false">IF($G160="","",IF(LOWER(TRIM($G160))=LOWER(TRIM($F160)),"Match","Mismatch"))</f>
        <v/>
      </c>
      <c r="I160" s="5" t="str">
        <f aca="false">IF($G160="","",IF(LOWER(TRIM($G160))=LOWER(TRIM($E160)),"Match","Mismatch"))</f>
        <v/>
      </c>
      <c r="J160" s="6"/>
    </row>
    <row r="161" customFormat="false" ht="15" hidden="false" customHeight="false" outlineLevel="0" collapsed="false">
      <c r="A161" s="5" t="s">
        <v>25</v>
      </c>
      <c r="B161" s="5" t="s">
        <v>142</v>
      </c>
      <c r="C161" s="5" t="s">
        <v>39</v>
      </c>
      <c r="D161" s="6" t="s">
        <v>49</v>
      </c>
      <c r="E161" s="5"/>
      <c r="F161" s="5" t="s">
        <v>41</v>
      </c>
      <c r="G161" s="7"/>
      <c r="H161" s="5" t="str">
        <f aca="false">IF($G161="","",IF(LOWER(TRIM($G161))=LOWER(TRIM($F161)),"Match","Mismatch"))</f>
        <v/>
      </c>
      <c r="I161" s="5" t="str">
        <f aca="false">IF($G161="","",IF(LOWER(TRIM($G161))=LOWER(TRIM($E161)),"Match","Mismatch"))</f>
        <v/>
      </c>
      <c r="J161" s="6"/>
    </row>
    <row r="162" customFormat="false" ht="23.85" hidden="false" customHeight="false" outlineLevel="0" collapsed="false">
      <c r="A162" s="5" t="s">
        <v>25</v>
      </c>
      <c r="B162" s="5" t="s">
        <v>142</v>
      </c>
      <c r="C162" s="5" t="s">
        <v>39</v>
      </c>
      <c r="D162" s="6" t="s">
        <v>50</v>
      </c>
      <c r="E162" s="5" t="s">
        <v>41</v>
      </c>
      <c r="F162" s="5" t="s">
        <v>43</v>
      </c>
      <c r="G162" s="7"/>
      <c r="H162" s="5" t="str">
        <f aca="false">IF($G162="","",IF(LOWER(TRIM($G162))=LOWER(TRIM($F162)),"Match","Mismatch"))</f>
        <v/>
      </c>
      <c r="I162" s="5" t="str">
        <f aca="false">IF($G162="","",IF(LOWER(TRIM($G162))=LOWER(TRIM($E162)),"Match","Mismatch"))</f>
        <v/>
      </c>
      <c r="J162" s="6"/>
    </row>
    <row r="163" customFormat="false" ht="15" hidden="false" customHeight="false" outlineLevel="0" collapsed="false">
      <c r="A163" s="5" t="s">
        <v>25</v>
      </c>
      <c r="B163" s="5" t="s">
        <v>142</v>
      </c>
      <c r="C163" s="5" t="s">
        <v>39</v>
      </c>
      <c r="D163" s="6" t="s">
        <v>52</v>
      </c>
      <c r="E163" s="5" t="s">
        <v>41</v>
      </c>
      <c r="F163" s="5" t="s">
        <v>46</v>
      </c>
      <c r="G163" s="7"/>
      <c r="H163" s="5" t="str">
        <f aca="false">IF($G163="","",IF(LOWER(TRIM($G163))=LOWER(TRIM($F163)),"Match","Mismatch"))</f>
        <v/>
      </c>
      <c r="I163" s="5" t="str">
        <f aca="false">IF($G163="","",IF(LOWER(TRIM($G163))=LOWER(TRIM($E163)),"Match","Mismatch"))</f>
        <v/>
      </c>
      <c r="J163" s="6"/>
    </row>
    <row r="164" customFormat="false" ht="15" hidden="false" customHeight="false" outlineLevel="0" collapsed="false">
      <c r="A164" s="5" t="s">
        <v>25</v>
      </c>
      <c r="B164" s="5" t="s">
        <v>142</v>
      </c>
      <c r="C164" s="5" t="s">
        <v>39</v>
      </c>
      <c r="D164" s="6" t="s">
        <v>54</v>
      </c>
      <c r="E164" s="5" t="s">
        <v>41</v>
      </c>
      <c r="F164" s="5" t="s">
        <v>46</v>
      </c>
      <c r="G164" s="7"/>
      <c r="H164" s="5" t="str">
        <f aca="false">IF($G164="","",IF(LOWER(TRIM($G164))=LOWER(TRIM($F164)),"Match","Mismatch"))</f>
        <v/>
      </c>
      <c r="I164" s="5" t="str">
        <f aca="false">IF($G164="","",IF(LOWER(TRIM($G164))=LOWER(TRIM($E164)),"Match","Mismatch"))</f>
        <v/>
      </c>
      <c r="J164" s="6"/>
    </row>
    <row r="165" customFormat="false" ht="23.85" hidden="false" customHeight="false" outlineLevel="0" collapsed="false">
      <c r="A165" s="5" t="s">
        <v>25</v>
      </c>
      <c r="B165" s="5" t="s">
        <v>142</v>
      </c>
      <c r="C165" s="5" t="s">
        <v>39</v>
      </c>
      <c r="D165" s="6" t="s">
        <v>56</v>
      </c>
      <c r="E165" s="5" t="s">
        <v>41</v>
      </c>
      <c r="F165" s="5" t="s">
        <v>43</v>
      </c>
      <c r="G165" s="7"/>
      <c r="H165" s="5" t="str">
        <f aca="false">IF($G165="","",IF(LOWER(TRIM($G165))=LOWER(TRIM($F165)),"Match","Mismatch"))</f>
        <v/>
      </c>
      <c r="I165" s="5" t="str">
        <f aca="false">IF($G165="","",IF(LOWER(TRIM($G165))=LOWER(TRIM($E165)),"Match","Mismatch"))</f>
        <v/>
      </c>
      <c r="J165" s="6"/>
    </row>
    <row r="166" customFormat="false" ht="15" hidden="false" customHeight="false" outlineLevel="0" collapsed="false">
      <c r="A166" s="5" t="s">
        <v>25</v>
      </c>
      <c r="B166" s="5" t="s">
        <v>142</v>
      </c>
      <c r="C166" s="5" t="s">
        <v>39</v>
      </c>
      <c r="D166" s="6" t="s">
        <v>57</v>
      </c>
      <c r="E166" s="5" t="s">
        <v>41</v>
      </c>
      <c r="F166" s="5" t="s">
        <v>43</v>
      </c>
      <c r="G166" s="7"/>
      <c r="H166" s="5" t="str">
        <f aca="false">IF($G166="","",IF(LOWER(TRIM($G166))=LOWER(TRIM($F166)),"Match","Mismatch"))</f>
        <v/>
      </c>
      <c r="I166" s="5" t="str">
        <f aca="false">IF($G166="","",IF(LOWER(TRIM($G166))=LOWER(TRIM($E166)),"Match","Mismatch"))</f>
        <v/>
      </c>
      <c r="J166" s="6"/>
    </row>
    <row r="167" customFormat="false" ht="15" hidden="false" customHeight="false" outlineLevel="0" collapsed="false">
      <c r="A167" s="5" t="s">
        <v>25</v>
      </c>
      <c r="B167" s="5" t="s">
        <v>142</v>
      </c>
      <c r="C167" s="5" t="s">
        <v>39</v>
      </c>
      <c r="D167" s="6" t="s">
        <v>58</v>
      </c>
      <c r="E167" s="5" t="s">
        <v>145</v>
      </c>
      <c r="F167" s="5" t="s">
        <v>41</v>
      </c>
      <c r="G167" s="7"/>
      <c r="H167" s="5" t="str">
        <f aca="false">IF($G167="","",IF(LOWER(TRIM($G167))=LOWER(TRIM($F167)),"Match","Mismatch"))</f>
        <v/>
      </c>
      <c r="I167" s="5" t="str">
        <f aca="false">IF($G167="","",IF(LOWER(TRIM($G167))=LOWER(TRIM($E167)),"Match","Mismatch"))</f>
        <v/>
      </c>
      <c r="J167" s="6"/>
    </row>
    <row r="168" customFormat="false" ht="23.85" hidden="false" customHeight="false" outlineLevel="0" collapsed="false">
      <c r="A168" s="5" t="s">
        <v>25</v>
      </c>
      <c r="B168" s="5" t="s">
        <v>142</v>
      </c>
      <c r="C168" s="5" t="s">
        <v>59</v>
      </c>
      <c r="D168" s="6" t="s">
        <v>61</v>
      </c>
      <c r="E168" s="5" t="s">
        <v>29</v>
      </c>
      <c r="F168" s="5" t="s">
        <v>31</v>
      </c>
      <c r="G168" s="7"/>
      <c r="H168" s="5" t="str">
        <f aca="false">IF($G168="","",IF(LOWER(TRIM($G168))=LOWER(TRIM($F168)),"Match","Mismatch"))</f>
        <v/>
      </c>
      <c r="I168" s="5" t="str">
        <f aca="false">IF($G168="","",IF(LOWER(TRIM($G168))=LOWER(TRIM($E168)),"Match","Mismatch"))</f>
        <v/>
      </c>
      <c r="J168" s="6"/>
    </row>
    <row r="169" customFormat="false" ht="15" hidden="false" customHeight="false" outlineLevel="0" collapsed="false">
      <c r="A169" s="5" t="s">
        <v>25</v>
      </c>
      <c r="B169" s="5" t="s">
        <v>142</v>
      </c>
      <c r="C169" s="5" t="s">
        <v>59</v>
      </c>
      <c r="D169" s="6" t="s">
        <v>62</v>
      </c>
      <c r="E169" s="5" t="s">
        <v>29</v>
      </c>
      <c r="F169" s="5" t="s">
        <v>31</v>
      </c>
      <c r="G169" s="7"/>
      <c r="H169" s="5" t="str">
        <f aca="false">IF($G169="","",IF(LOWER(TRIM($G169))=LOWER(TRIM($F169)),"Match","Mismatch"))</f>
        <v/>
      </c>
      <c r="I169" s="5" t="str">
        <f aca="false">IF($G169="","",IF(LOWER(TRIM($G169))=LOWER(TRIM($E169)),"Match","Mismatch"))</f>
        <v/>
      </c>
      <c r="J169" s="6"/>
    </row>
    <row r="170" customFormat="false" ht="15" hidden="false" customHeight="false" outlineLevel="0" collapsed="false">
      <c r="A170" s="5" t="s">
        <v>25</v>
      </c>
      <c r="B170" s="5" t="s">
        <v>142</v>
      </c>
      <c r="C170" s="5" t="s">
        <v>59</v>
      </c>
      <c r="D170" s="6" t="s">
        <v>63</v>
      </c>
      <c r="E170" s="5" t="s">
        <v>146</v>
      </c>
      <c r="F170" s="5" t="s">
        <v>147</v>
      </c>
      <c r="G170" s="7"/>
      <c r="H170" s="5" t="str">
        <f aca="false">IF($G170="","",IF(LOWER(TRIM($G170))=LOWER(TRIM($F170)),"Match","Mismatch"))</f>
        <v/>
      </c>
      <c r="I170" s="5" t="str">
        <f aca="false">IF($G170="","",IF(LOWER(TRIM($G170))=LOWER(TRIM($E170)),"Match","Mismatch"))</f>
        <v/>
      </c>
      <c r="J170" s="6"/>
    </row>
    <row r="171" customFormat="false" ht="23.85" hidden="false" customHeight="false" outlineLevel="0" collapsed="false">
      <c r="A171" s="5" t="s">
        <v>25</v>
      </c>
      <c r="B171" s="5" t="s">
        <v>142</v>
      </c>
      <c r="C171" s="5" t="s">
        <v>59</v>
      </c>
      <c r="D171" s="6" t="s">
        <v>65</v>
      </c>
      <c r="E171" s="5" t="s">
        <v>29</v>
      </c>
      <c r="F171" s="5" t="s">
        <v>31</v>
      </c>
      <c r="G171" s="7"/>
      <c r="H171" s="5" t="str">
        <f aca="false">IF($G171="","",IF(LOWER(TRIM($G171))=LOWER(TRIM($F171)),"Match","Mismatch"))</f>
        <v/>
      </c>
      <c r="I171" s="5" t="str">
        <f aca="false">IF($G171="","",IF(LOWER(TRIM($G171))=LOWER(TRIM($E171)),"Match","Mismatch"))</f>
        <v/>
      </c>
      <c r="J171" s="6"/>
    </row>
    <row r="172" customFormat="false" ht="23.85" hidden="false" customHeight="false" outlineLevel="0" collapsed="false">
      <c r="A172" s="5" t="s">
        <v>25</v>
      </c>
      <c r="B172" s="5" t="s">
        <v>142</v>
      </c>
      <c r="C172" s="5" t="s">
        <v>59</v>
      </c>
      <c r="D172" s="6" t="s">
        <v>66</v>
      </c>
      <c r="E172" s="5" t="s">
        <v>29</v>
      </c>
      <c r="F172" s="5" t="s">
        <v>31</v>
      </c>
      <c r="G172" s="7"/>
      <c r="H172" s="5" t="str">
        <f aca="false">IF($G172="","",IF(LOWER(TRIM($G172))=LOWER(TRIM($F172)),"Match","Mismatch"))</f>
        <v/>
      </c>
      <c r="I172" s="5" t="str">
        <f aca="false">IF($G172="","",IF(LOWER(TRIM($G172))=LOWER(TRIM($E172)),"Match","Mismatch"))</f>
        <v/>
      </c>
      <c r="J172" s="6"/>
    </row>
    <row r="173" customFormat="false" ht="15" hidden="false" customHeight="false" outlineLevel="0" collapsed="false">
      <c r="A173" s="5" t="s">
        <v>25</v>
      </c>
      <c r="B173" s="5" t="s">
        <v>142</v>
      </c>
      <c r="C173" s="5" t="s">
        <v>67</v>
      </c>
      <c r="D173" s="6" t="s">
        <v>68</v>
      </c>
      <c r="E173" s="5" t="s">
        <v>148</v>
      </c>
      <c r="F173" s="5" t="s">
        <v>149</v>
      </c>
      <c r="G173" s="7"/>
      <c r="H173" s="5" t="str">
        <f aca="false">IF($G173="","",IF(LOWER(TRIM($G173))=LOWER(TRIM($F173)),"Match","Mismatch"))</f>
        <v/>
      </c>
      <c r="I173" s="5" t="str">
        <f aca="false">IF($G173="","",IF(LOWER(TRIM($G173))=LOWER(TRIM($E173)),"Match","Mismatch"))</f>
        <v/>
      </c>
      <c r="J173" s="6"/>
    </row>
    <row r="174" customFormat="false" ht="15" hidden="false" customHeight="false" outlineLevel="0" collapsed="false">
      <c r="A174" s="5" t="s">
        <v>25</v>
      </c>
      <c r="B174" s="5" t="s">
        <v>142</v>
      </c>
      <c r="C174" s="5" t="s">
        <v>70</v>
      </c>
      <c r="D174" s="6" t="s">
        <v>71</v>
      </c>
      <c r="E174" s="5"/>
      <c r="F174" s="5" t="s">
        <v>150</v>
      </c>
      <c r="G174" s="7"/>
      <c r="H174" s="5" t="str">
        <f aca="false">IF($G174="","",IF(LOWER(TRIM($G174))=LOWER(TRIM($F174)),"Match","Mismatch"))</f>
        <v/>
      </c>
      <c r="I174" s="5" t="str">
        <f aca="false">IF($G174="","",IF(LOWER(TRIM($G174))=LOWER(TRIM($E174)),"Match","Mismatch"))</f>
        <v/>
      </c>
      <c r="J174" s="6"/>
    </row>
    <row r="175" customFormat="false" ht="15" hidden="false" customHeight="false" outlineLevel="0" collapsed="false">
      <c r="A175" s="5" t="s">
        <v>25</v>
      </c>
      <c r="B175" s="5" t="s">
        <v>142</v>
      </c>
      <c r="C175" s="5" t="s">
        <v>70</v>
      </c>
      <c r="D175" s="6" t="s">
        <v>73</v>
      </c>
      <c r="E175" s="5"/>
      <c r="F175" s="5" t="s">
        <v>151</v>
      </c>
      <c r="G175" s="7"/>
      <c r="H175" s="5" t="str">
        <f aca="false">IF($G175="","",IF(LOWER(TRIM($G175))=LOWER(TRIM($F175)),"Match","Mismatch"))</f>
        <v/>
      </c>
      <c r="I175" s="5" t="str">
        <f aca="false">IF($G175="","",IF(LOWER(TRIM($G175))=LOWER(TRIM($E175)),"Match","Mismatch"))</f>
        <v/>
      </c>
      <c r="J175" s="6"/>
    </row>
    <row r="176" customFormat="false" ht="15" hidden="false" customHeight="false" outlineLevel="0" collapsed="false">
      <c r="A176" s="5" t="s">
        <v>25</v>
      </c>
      <c r="B176" s="5" t="s">
        <v>142</v>
      </c>
      <c r="C176" s="5" t="s">
        <v>70</v>
      </c>
      <c r="D176" s="6" t="s">
        <v>75</v>
      </c>
      <c r="E176" s="5"/>
      <c r="F176" s="5" t="s">
        <v>152</v>
      </c>
      <c r="G176" s="7"/>
      <c r="H176" s="5" t="str">
        <f aca="false">IF($G176="","",IF(LOWER(TRIM($G176))=LOWER(TRIM($F176)),"Match","Mismatch"))</f>
        <v/>
      </c>
      <c r="I176" s="5" t="str">
        <f aca="false">IF($G176="","",IF(LOWER(TRIM($G176))=LOWER(TRIM($E176)),"Match","Mismatch"))</f>
        <v/>
      </c>
      <c r="J176" s="6"/>
    </row>
    <row r="177" customFormat="false" ht="15" hidden="false" customHeight="false" outlineLevel="0" collapsed="false">
      <c r="A177" s="5" t="s">
        <v>25</v>
      </c>
      <c r="B177" s="5" t="s">
        <v>142</v>
      </c>
      <c r="C177" s="5" t="s">
        <v>70</v>
      </c>
      <c r="D177" s="6" t="s">
        <v>77</v>
      </c>
      <c r="E177" s="5"/>
      <c r="F177" s="5" t="s">
        <v>153</v>
      </c>
      <c r="G177" s="7"/>
      <c r="H177" s="5" t="str">
        <f aca="false">IF($G177="","",IF(LOWER(TRIM($G177))=LOWER(TRIM($F177)),"Match","Mismatch"))</f>
        <v/>
      </c>
      <c r="I177" s="5" t="str">
        <f aca="false">IF($G177="","",IF(LOWER(TRIM($G177))=LOWER(TRIM($E177)),"Match","Mismatch"))</f>
        <v/>
      </c>
      <c r="J177" s="6"/>
    </row>
    <row r="178" customFormat="false" ht="15" hidden="false" customHeight="false" outlineLevel="0" collapsed="false">
      <c r="A178" s="5" t="s">
        <v>25</v>
      </c>
      <c r="B178" s="5" t="s">
        <v>142</v>
      </c>
      <c r="C178" s="5" t="s">
        <v>70</v>
      </c>
      <c r="D178" s="6" t="s">
        <v>80</v>
      </c>
      <c r="E178" s="5"/>
      <c r="F178" s="5" t="s">
        <v>154</v>
      </c>
      <c r="G178" s="7"/>
      <c r="H178" s="5" t="str">
        <f aca="false">IF($G178="","",IF(LOWER(TRIM($G178))=LOWER(TRIM($F178)),"Match","Mismatch"))</f>
        <v/>
      </c>
      <c r="I178" s="5" t="str">
        <f aca="false">IF($G178="","",IF(LOWER(TRIM($G178))=LOWER(TRIM($E178)),"Match","Mismatch"))</f>
        <v/>
      </c>
      <c r="J178" s="6"/>
    </row>
    <row r="179" customFormat="false" ht="15" hidden="false" customHeight="false" outlineLevel="0" collapsed="false">
      <c r="A179" s="5" t="s">
        <v>25</v>
      </c>
      <c r="B179" s="5" t="s">
        <v>142</v>
      </c>
      <c r="C179" s="5" t="s">
        <v>70</v>
      </c>
      <c r="D179" s="6" t="s">
        <v>82</v>
      </c>
      <c r="E179" s="5"/>
      <c r="F179" s="5" t="s">
        <v>155</v>
      </c>
      <c r="G179" s="7"/>
      <c r="H179" s="5" t="str">
        <f aca="false">IF($G179="","",IF(LOWER(TRIM($G179))=LOWER(TRIM($F179)),"Match","Mismatch"))</f>
        <v/>
      </c>
      <c r="I179" s="5" t="str">
        <f aca="false">IF($G179="","",IF(LOWER(TRIM($G179))=LOWER(TRIM($E179)),"Match","Mismatch"))</f>
        <v/>
      </c>
      <c r="J179" s="6"/>
    </row>
    <row r="180" customFormat="false" ht="15" hidden="false" customHeight="false" outlineLevel="0" collapsed="false">
      <c r="A180" s="5" t="s">
        <v>25</v>
      </c>
      <c r="B180" s="5" t="s">
        <v>142</v>
      </c>
      <c r="C180" s="5" t="s">
        <v>70</v>
      </c>
      <c r="D180" s="6" t="s">
        <v>84</v>
      </c>
      <c r="E180" s="5"/>
      <c r="F180" s="5" t="s">
        <v>156</v>
      </c>
      <c r="G180" s="7"/>
      <c r="H180" s="5" t="str">
        <f aca="false">IF($G180="","",IF(LOWER(TRIM($G180))=LOWER(TRIM($F180)),"Match","Mismatch"))</f>
        <v/>
      </c>
      <c r="I180" s="5" t="str">
        <f aca="false">IF($G180="","",IF(LOWER(TRIM($G180))=LOWER(TRIM($E180)),"Match","Mismatch"))</f>
        <v/>
      </c>
      <c r="J180" s="6"/>
    </row>
    <row r="181" customFormat="false" ht="15" hidden="false" customHeight="false" outlineLevel="0" collapsed="false">
      <c r="A181" s="5" t="s">
        <v>25</v>
      </c>
      <c r="B181" s="5" t="s">
        <v>142</v>
      </c>
      <c r="C181" s="5" t="s">
        <v>70</v>
      </c>
      <c r="D181" s="6" t="s">
        <v>86</v>
      </c>
      <c r="E181" s="5"/>
      <c r="F181" s="5" t="s">
        <v>157</v>
      </c>
      <c r="G181" s="7"/>
      <c r="H181" s="5" t="str">
        <f aca="false">IF($G181="","",IF(LOWER(TRIM($G181))=LOWER(TRIM($F181)),"Match","Mismatch"))</f>
        <v/>
      </c>
      <c r="I181" s="5" t="str">
        <f aca="false">IF($G181="","",IF(LOWER(TRIM($G181))=LOWER(TRIM($E181)),"Match","Mismatch"))</f>
        <v/>
      </c>
      <c r="J181" s="6"/>
    </row>
    <row r="182" customFormat="false" ht="23.85" hidden="false" customHeight="false" outlineLevel="0" collapsed="false">
      <c r="A182" s="5" t="s">
        <v>25</v>
      </c>
      <c r="B182" s="5" t="s">
        <v>158</v>
      </c>
      <c r="C182" s="5" t="s">
        <v>27</v>
      </c>
      <c r="D182" s="6" t="s">
        <v>28</v>
      </c>
      <c r="E182" s="5"/>
      <c r="F182" s="5" t="s">
        <v>29</v>
      </c>
      <c r="G182" s="7"/>
      <c r="H182" s="5" t="str">
        <f aca="false">IF($G182="","",IF(LOWER(TRIM($G182))=LOWER(TRIM($F182)),"Match","Mismatch"))</f>
        <v/>
      </c>
      <c r="I182" s="5" t="str">
        <f aca="false">IF($G182="","",IF(LOWER(TRIM($G182))=LOWER(TRIM($E182)),"Match","Mismatch"))</f>
        <v/>
      </c>
      <c r="J182" s="6"/>
    </row>
    <row r="183" customFormat="false" ht="23.85" hidden="false" customHeight="false" outlineLevel="0" collapsed="false">
      <c r="A183" s="5" t="s">
        <v>25</v>
      </c>
      <c r="B183" s="5" t="s">
        <v>158</v>
      </c>
      <c r="C183" s="5" t="s">
        <v>27</v>
      </c>
      <c r="D183" s="6" t="s">
        <v>30</v>
      </c>
      <c r="E183" s="5"/>
      <c r="F183" s="5" t="s">
        <v>29</v>
      </c>
      <c r="G183" s="7"/>
      <c r="H183" s="5" t="str">
        <f aca="false">IF($G183="","",IF(LOWER(TRIM($G183))=LOWER(TRIM($F183)),"Match","Mismatch"))</f>
        <v/>
      </c>
      <c r="I183" s="5" t="str">
        <f aca="false">IF($G183="","",IF(LOWER(TRIM($G183))=LOWER(TRIM($E183)),"Match","Mismatch"))</f>
        <v/>
      </c>
      <c r="J183" s="6"/>
    </row>
    <row r="184" customFormat="false" ht="35.05" hidden="false" customHeight="false" outlineLevel="0" collapsed="false">
      <c r="A184" s="5" t="s">
        <v>25</v>
      </c>
      <c r="B184" s="5" t="s">
        <v>158</v>
      </c>
      <c r="C184" s="5" t="s">
        <v>27</v>
      </c>
      <c r="D184" s="6" t="s">
        <v>32</v>
      </c>
      <c r="E184" s="5"/>
      <c r="F184" s="5" t="s">
        <v>31</v>
      </c>
      <c r="G184" s="7"/>
      <c r="H184" s="5" t="str">
        <f aca="false">IF($G184="","",IF(LOWER(TRIM($G184))=LOWER(TRIM($F184)),"Match","Mismatch"))</f>
        <v/>
      </c>
      <c r="I184" s="5" t="str">
        <f aca="false">IF($G184="","",IF(LOWER(TRIM($G184))=LOWER(TRIM($E184)),"Match","Mismatch"))</f>
        <v/>
      </c>
      <c r="J184" s="6"/>
    </row>
    <row r="185" customFormat="false" ht="35.05" hidden="false" customHeight="false" outlineLevel="0" collapsed="false">
      <c r="A185" s="5" t="s">
        <v>25</v>
      </c>
      <c r="B185" s="5" t="s">
        <v>158</v>
      </c>
      <c r="C185" s="5" t="s">
        <v>27</v>
      </c>
      <c r="D185" s="6" t="s">
        <v>33</v>
      </c>
      <c r="E185" s="5"/>
      <c r="F185" s="5" t="s">
        <v>31</v>
      </c>
      <c r="G185" s="7"/>
      <c r="H185" s="5" t="str">
        <f aca="false">IF($G185="","",IF(LOWER(TRIM($G185))=LOWER(TRIM($F185)),"Match","Mismatch"))</f>
        <v/>
      </c>
      <c r="I185" s="5" t="str">
        <f aca="false">IF($G185="","",IF(LOWER(TRIM($G185))=LOWER(TRIM($E185)),"Match","Mismatch"))</f>
        <v/>
      </c>
      <c r="J185" s="6"/>
    </row>
    <row r="186" customFormat="false" ht="15" hidden="false" customHeight="false" outlineLevel="0" collapsed="false">
      <c r="A186" s="5" t="s">
        <v>25</v>
      </c>
      <c r="B186" s="5" t="s">
        <v>158</v>
      </c>
      <c r="C186" s="5" t="s">
        <v>27</v>
      </c>
      <c r="D186" s="6" t="s">
        <v>35</v>
      </c>
      <c r="E186" s="5" t="s">
        <v>159</v>
      </c>
      <c r="F186" s="5" t="s">
        <v>160</v>
      </c>
      <c r="G186" s="7"/>
      <c r="H186" s="5" t="str">
        <f aca="false">IF($G186="","",IF(LOWER(TRIM($G186))=LOWER(TRIM($F186)),"Match","Mismatch"))</f>
        <v/>
      </c>
      <c r="I186" s="5" t="str">
        <f aca="false">IF($G186="","",IF(LOWER(TRIM($G186))=LOWER(TRIM($E186)),"Match","Mismatch"))</f>
        <v/>
      </c>
      <c r="J186" s="6"/>
    </row>
    <row r="187" customFormat="false" ht="23.85" hidden="false" customHeight="false" outlineLevel="0" collapsed="false">
      <c r="A187" s="5" t="s">
        <v>25</v>
      </c>
      <c r="B187" s="5" t="s">
        <v>158</v>
      </c>
      <c r="C187" s="5" t="s">
        <v>27</v>
      </c>
      <c r="D187" s="6" t="s">
        <v>37</v>
      </c>
      <c r="E187" s="5"/>
      <c r="F187" s="5" t="s">
        <v>31</v>
      </c>
      <c r="G187" s="7"/>
      <c r="H187" s="5" t="str">
        <f aca="false">IF($G187="","",IF(LOWER(TRIM($G187))=LOWER(TRIM($F187)),"Match","Mismatch"))</f>
        <v/>
      </c>
      <c r="I187" s="5" t="str">
        <f aca="false">IF($G187="","",IF(LOWER(TRIM($G187))=LOWER(TRIM($E187)),"Match","Mismatch"))</f>
        <v/>
      </c>
      <c r="J187" s="6"/>
    </row>
    <row r="188" customFormat="false" ht="23.85" hidden="false" customHeight="false" outlineLevel="0" collapsed="false">
      <c r="A188" s="5" t="s">
        <v>25</v>
      </c>
      <c r="B188" s="5" t="s">
        <v>158</v>
      </c>
      <c r="C188" s="5" t="s">
        <v>27</v>
      </c>
      <c r="D188" s="6" t="s">
        <v>38</v>
      </c>
      <c r="E188" s="5"/>
      <c r="F188" s="5" t="s">
        <v>31</v>
      </c>
      <c r="G188" s="7"/>
      <c r="H188" s="5" t="str">
        <f aca="false">IF($G188="","",IF(LOWER(TRIM($G188))=LOWER(TRIM($F188)),"Match","Mismatch"))</f>
        <v/>
      </c>
      <c r="I188" s="5" t="str">
        <f aca="false">IF($G188="","",IF(LOWER(TRIM($G188))=LOWER(TRIM($E188)),"Match","Mismatch"))</f>
        <v/>
      </c>
      <c r="J188" s="6"/>
    </row>
    <row r="189" customFormat="false" ht="15" hidden="false" customHeight="false" outlineLevel="0" collapsed="false">
      <c r="A189" s="5" t="s">
        <v>25</v>
      </c>
      <c r="B189" s="5" t="s">
        <v>158</v>
      </c>
      <c r="C189" s="5" t="s">
        <v>39</v>
      </c>
      <c r="D189" s="6" t="s">
        <v>40</v>
      </c>
      <c r="E189" s="5"/>
      <c r="F189" s="5" t="s">
        <v>43</v>
      </c>
      <c r="G189" s="7"/>
      <c r="H189" s="5" t="str">
        <f aca="false">IF($G189="","",IF(LOWER(TRIM($G189))=LOWER(TRIM($F189)),"Match","Mismatch"))</f>
        <v/>
      </c>
      <c r="I189" s="5" t="str">
        <f aca="false">IF($G189="","",IF(LOWER(TRIM($G189))=LOWER(TRIM($E189)),"Match","Mismatch"))</f>
        <v/>
      </c>
      <c r="J189" s="6"/>
    </row>
    <row r="190" customFormat="false" ht="23.85" hidden="false" customHeight="false" outlineLevel="0" collapsed="false">
      <c r="A190" s="5" t="s">
        <v>25</v>
      </c>
      <c r="B190" s="5" t="s">
        <v>158</v>
      </c>
      <c r="C190" s="5" t="s">
        <v>39</v>
      </c>
      <c r="D190" s="6" t="s">
        <v>42</v>
      </c>
      <c r="E190" s="5" t="s">
        <v>41</v>
      </c>
      <c r="F190" s="5" t="s">
        <v>43</v>
      </c>
      <c r="G190" s="7"/>
      <c r="H190" s="5" t="str">
        <f aca="false">IF($G190="","",IF(LOWER(TRIM($G190))=LOWER(TRIM($F190)),"Match","Mismatch"))</f>
        <v/>
      </c>
      <c r="I190" s="5" t="str">
        <f aca="false">IF($G190="","",IF(LOWER(TRIM($G190))=LOWER(TRIM($E190)),"Match","Mismatch"))</f>
        <v/>
      </c>
      <c r="J190" s="6"/>
    </row>
    <row r="191" customFormat="false" ht="23.85" hidden="false" customHeight="false" outlineLevel="0" collapsed="false">
      <c r="A191" s="5" t="s">
        <v>25</v>
      </c>
      <c r="B191" s="5" t="s">
        <v>158</v>
      </c>
      <c r="C191" s="5" t="s">
        <v>39</v>
      </c>
      <c r="D191" s="6" t="s">
        <v>44</v>
      </c>
      <c r="E191" s="5" t="s">
        <v>41</v>
      </c>
      <c r="F191" s="5" t="s">
        <v>43</v>
      </c>
      <c r="G191" s="7"/>
      <c r="H191" s="5" t="str">
        <f aca="false">IF($G191="","",IF(LOWER(TRIM($G191))=LOWER(TRIM($F191)),"Match","Mismatch"))</f>
        <v/>
      </c>
      <c r="I191" s="5" t="str">
        <f aca="false">IF($G191="","",IF(LOWER(TRIM($G191))=LOWER(TRIM($E191)),"Match","Mismatch"))</f>
        <v/>
      </c>
      <c r="J191" s="6"/>
    </row>
    <row r="192" customFormat="false" ht="15" hidden="false" customHeight="false" outlineLevel="0" collapsed="false">
      <c r="A192" s="5" t="s">
        <v>25</v>
      </c>
      <c r="B192" s="5" t="s">
        <v>158</v>
      </c>
      <c r="C192" s="5" t="s">
        <v>39</v>
      </c>
      <c r="D192" s="6" t="s">
        <v>45</v>
      </c>
      <c r="E192" s="5" t="s">
        <v>41</v>
      </c>
      <c r="F192" s="5" t="s">
        <v>46</v>
      </c>
      <c r="G192" s="7"/>
      <c r="H192" s="5" t="str">
        <f aca="false">IF($G192="","",IF(LOWER(TRIM($G192))=LOWER(TRIM($F192)),"Match","Mismatch"))</f>
        <v/>
      </c>
      <c r="I192" s="5" t="str">
        <f aca="false">IF($G192="","",IF(LOWER(TRIM($G192))=LOWER(TRIM($E192)),"Match","Mismatch"))</f>
        <v/>
      </c>
      <c r="J192" s="6"/>
    </row>
    <row r="193" customFormat="false" ht="15" hidden="false" customHeight="false" outlineLevel="0" collapsed="false">
      <c r="A193" s="5" t="s">
        <v>25</v>
      </c>
      <c r="B193" s="5" t="s">
        <v>158</v>
      </c>
      <c r="C193" s="5" t="s">
        <v>39</v>
      </c>
      <c r="D193" s="6" t="s">
        <v>47</v>
      </c>
      <c r="E193" s="5" t="s">
        <v>41</v>
      </c>
      <c r="F193" s="5" t="s">
        <v>43</v>
      </c>
      <c r="G193" s="7"/>
      <c r="H193" s="5" t="str">
        <f aca="false">IF($G193="","",IF(LOWER(TRIM($G193))=LOWER(TRIM($F193)),"Match","Mismatch"))</f>
        <v/>
      </c>
      <c r="I193" s="5" t="str">
        <f aca="false">IF($G193="","",IF(LOWER(TRIM($G193))=LOWER(TRIM($E193)),"Match","Mismatch"))</f>
        <v/>
      </c>
      <c r="J193" s="6"/>
    </row>
    <row r="194" customFormat="false" ht="15" hidden="false" customHeight="false" outlineLevel="0" collapsed="false">
      <c r="A194" s="5" t="s">
        <v>25</v>
      </c>
      <c r="B194" s="5" t="s">
        <v>158</v>
      </c>
      <c r="C194" s="5" t="s">
        <v>39</v>
      </c>
      <c r="D194" s="6" t="s">
        <v>48</v>
      </c>
      <c r="E194" s="5"/>
      <c r="F194" s="5" t="s">
        <v>41</v>
      </c>
      <c r="G194" s="7"/>
      <c r="H194" s="5" t="str">
        <f aca="false">IF($G194="","",IF(LOWER(TRIM($G194))=LOWER(TRIM($F194)),"Match","Mismatch"))</f>
        <v/>
      </c>
      <c r="I194" s="5" t="str">
        <f aca="false">IF($G194="","",IF(LOWER(TRIM($G194))=LOWER(TRIM($E194)),"Match","Mismatch"))</f>
        <v/>
      </c>
      <c r="J194" s="6"/>
    </row>
    <row r="195" customFormat="false" ht="23.85" hidden="false" customHeight="false" outlineLevel="0" collapsed="false">
      <c r="A195" s="5" t="s">
        <v>25</v>
      </c>
      <c r="B195" s="5" t="s">
        <v>158</v>
      </c>
      <c r="C195" s="5" t="s">
        <v>39</v>
      </c>
      <c r="D195" s="6" t="s">
        <v>50</v>
      </c>
      <c r="E195" s="5" t="s">
        <v>41</v>
      </c>
      <c r="F195" s="5" t="s">
        <v>43</v>
      </c>
      <c r="G195" s="7"/>
      <c r="H195" s="5" t="str">
        <f aca="false">IF($G195="","",IF(LOWER(TRIM($G195))=LOWER(TRIM($F195)),"Match","Mismatch"))</f>
        <v/>
      </c>
      <c r="I195" s="5" t="str">
        <f aca="false">IF($G195="","",IF(LOWER(TRIM($G195))=LOWER(TRIM($E195)),"Match","Mismatch"))</f>
        <v/>
      </c>
      <c r="J195" s="6"/>
    </row>
    <row r="196" customFormat="false" ht="15" hidden="false" customHeight="false" outlineLevel="0" collapsed="false">
      <c r="A196" s="5" t="s">
        <v>25</v>
      </c>
      <c r="B196" s="5" t="s">
        <v>158</v>
      </c>
      <c r="C196" s="5" t="s">
        <v>39</v>
      </c>
      <c r="D196" s="6" t="s">
        <v>52</v>
      </c>
      <c r="E196" s="5" t="s">
        <v>41</v>
      </c>
      <c r="F196" s="5" t="s">
        <v>55</v>
      </c>
      <c r="G196" s="7"/>
      <c r="H196" s="5" t="str">
        <f aca="false">IF($G196="","",IF(LOWER(TRIM($G196))=LOWER(TRIM($F196)),"Match","Mismatch"))</f>
        <v/>
      </c>
      <c r="I196" s="5" t="str">
        <f aca="false">IF($G196="","",IF(LOWER(TRIM($G196))=LOWER(TRIM($E196)),"Match","Mismatch"))</f>
        <v/>
      </c>
      <c r="J196" s="6"/>
    </row>
    <row r="197" customFormat="false" ht="15" hidden="false" customHeight="false" outlineLevel="0" collapsed="false">
      <c r="A197" s="5" t="s">
        <v>25</v>
      </c>
      <c r="B197" s="5" t="s">
        <v>158</v>
      </c>
      <c r="C197" s="5" t="s">
        <v>39</v>
      </c>
      <c r="D197" s="6" t="s">
        <v>53</v>
      </c>
      <c r="E197" s="5" t="s">
        <v>41</v>
      </c>
      <c r="F197" s="5" t="s">
        <v>55</v>
      </c>
      <c r="G197" s="7"/>
      <c r="H197" s="5" t="str">
        <f aca="false">IF($G197="","",IF(LOWER(TRIM($G197))=LOWER(TRIM($F197)),"Match","Mismatch"))</f>
        <v/>
      </c>
      <c r="I197" s="5" t="str">
        <f aca="false">IF($G197="","",IF(LOWER(TRIM($G197))=LOWER(TRIM($E197)),"Match","Mismatch"))</f>
        <v/>
      </c>
      <c r="J197" s="6"/>
    </row>
    <row r="198" customFormat="false" ht="15" hidden="false" customHeight="false" outlineLevel="0" collapsed="false">
      <c r="A198" s="5" t="s">
        <v>25</v>
      </c>
      <c r="B198" s="5" t="s">
        <v>158</v>
      </c>
      <c r="C198" s="5" t="s">
        <v>39</v>
      </c>
      <c r="D198" s="6" t="s">
        <v>54</v>
      </c>
      <c r="E198" s="5" t="s">
        <v>41</v>
      </c>
      <c r="F198" s="5" t="s">
        <v>55</v>
      </c>
      <c r="G198" s="7"/>
      <c r="H198" s="5" t="str">
        <f aca="false">IF($G198="","",IF(LOWER(TRIM($G198))=LOWER(TRIM($F198)),"Match","Mismatch"))</f>
        <v/>
      </c>
      <c r="I198" s="5" t="str">
        <f aca="false">IF($G198="","",IF(LOWER(TRIM($G198))=LOWER(TRIM($E198)),"Match","Mismatch"))</f>
        <v/>
      </c>
      <c r="J198" s="6"/>
    </row>
    <row r="199" customFormat="false" ht="23.85" hidden="false" customHeight="false" outlineLevel="0" collapsed="false">
      <c r="A199" s="5" t="s">
        <v>25</v>
      </c>
      <c r="B199" s="5" t="s">
        <v>158</v>
      </c>
      <c r="C199" s="5" t="s">
        <v>39</v>
      </c>
      <c r="D199" s="6" t="s">
        <v>56</v>
      </c>
      <c r="E199" s="5" t="s">
        <v>41</v>
      </c>
      <c r="F199" s="5" t="s">
        <v>43</v>
      </c>
      <c r="G199" s="7"/>
      <c r="H199" s="5" t="str">
        <f aca="false">IF($G199="","",IF(LOWER(TRIM($G199))=LOWER(TRIM($F199)),"Match","Mismatch"))</f>
        <v/>
      </c>
      <c r="I199" s="5" t="str">
        <f aca="false">IF($G199="","",IF(LOWER(TRIM($G199))=LOWER(TRIM($E199)),"Match","Mismatch"))</f>
        <v/>
      </c>
      <c r="J199" s="6"/>
    </row>
    <row r="200" customFormat="false" ht="15" hidden="false" customHeight="false" outlineLevel="0" collapsed="false">
      <c r="A200" s="5" t="s">
        <v>25</v>
      </c>
      <c r="B200" s="5" t="s">
        <v>158</v>
      </c>
      <c r="C200" s="5" t="s">
        <v>39</v>
      </c>
      <c r="D200" s="6" t="s">
        <v>57</v>
      </c>
      <c r="E200" s="5" t="s">
        <v>41</v>
      </c>
      <c r="F200" s="5" t="s">
        <v>43</v>
      </c>
      <c r="G200" s="7"/>
      <c r="H200" s="5" t="str">
        <f aca="false">IF($G200="","",IF(LOWER(TRIM($G200))=LOWER(TRIM($F200)),"Match","Mismatch"))</f>
        <v/>
      </c>
      <c r="I200" s="5" t="str">
        <f aca="false">IF($G200="","",IF(LOWER(TRIM($G200))=LOWER(TRIM($E200)),"Match","Mismatch"))</f>
        <v/>
      </c>
      <c r="J200" s="6"/>
    </row>
    <row r="201" customFormat="false" ht="15" hidden="false" customHeight="false" outlineLevel="0" collapsed="false">
      <c r="A201" s="5" t="s">
        <v>25</v>
      </c>
      <c r="B201" s="5" t="s">
        <v>158</v>
      </c>
      <c r="C201" s="5" t="s">
        <v>39</v>
      </c>
      <c r="D201" s="6" t="s">
        <v>58</v>
      </c>
      <c r="E201" s="5" t="s">
        <v>41</v>
      </c>
      <c r="F201" s="5" t="s">
        <v>55</v>
      </c>
      <c r="G201" s="7"/>
      <c r="H201" s="5" t="str">
        <f aca="false">IF($G201="","",IF(LOWER(TRIM($G201))=LOWER(TRIM($F201)),"Match","Mismatch"))</f>
        <v/>
      </c>
      <c r="I201" s="5" t="str">
        <f aca="false">IF($G201="","",IF(LOWER(TRIM($G201))=LOWER(TRIM($E201)),"Match","Mismatch"))</f>
        <v/>
      </c>
      <c r="J201" s="6"/>
    </row>
    <row r="202" customFormat="false" ht="15" hidden="false" customHeight="false" outlineLevel="0" collapsed="false">
      <c r="A202" s="5" t="s">
        <v>25</v>
      </c>
      <c r="B202" s="5" t="s">
        <v>158</v>
      </c>
      <c r="C202" s="5" t="s">
        <v>59</v>
      </c>
      <c r="D202" s="6" t="s">
        <v>60</v>
      </c>
      <c r="E202" s="5"/>
      <c r="F202" s="5" t="s">
        <v>31</v>
      </c>
      <c r="G202" s="7"/>
      <c r="H202" s="5" t="str">
        <f aca="false">IF($G202="","",IF(LOWER(TRIM($G202))=LOWER(TRIM($F202)),"Match","Mismatch"))</f>
        <v/>
      </c>
      <c r="I202" s="5" t="str">
        <f aca="false">IF($G202="","",IF(LOWER(TRIM($G202))=LOWER(TRIM($E202)),"Match","Mismatch"))</f>
        <v/>
      </c>
      <c r="J202" s="6"/>
    </row>
    <row r="203" customFormat="false" ht="23.85" hidden="false" customHeight="false" outlineLevel="0" collapsed="false">
      <c r="A203" s="5" t="s">
        <v>25</v>
      </c>
      <c r="B203" s="5" t="s">
        <v>158</v>
      </c>
      <c r="C203" s="5" t="s">
        <v>59</v>
      </c>
      <c r="D203" s="6" t="s">
        <v>61</v>
      </c>
      <c r="E203" s="5"/>
      <c r="F203" s="5" t="s">
        <v>31</v>
      </c>
      <c r="G203" s="7"/>
      <c r="H203" s="5" t="str">
        <f aca="false">IF($G203="","",IF(LOWER(TRIM($G203))=LOWER(TRIM($F203)),"Match","Mismatch"))</f>
        <v/>
      </c>
      <c r="I203" s="5" t="str">
        <f aca="false">IF($G203="","",IF(LOWER(TRIM($G203))=LOWER(TRIM($E203)),"Match","Mismatch"))</f>
        <v/>
      </c>
      <c r="J203" s="6"/>
    </row>
    <row r="204" customFormat="false" ht="15" hidden="false" customHeight="false" outlineLevel="0" collapsed="false">
      <c r="A204" s="5" t="s">
        <v>25</v>
      </c>
      <c r="B204" s="5" t="s">
        <v>158</v>
      </c>
      <c r="C204" s="5" t="s">
        <v>59</v>
      </c>
      <c r="D204" s="6" t="s">
        <v>62</v>
      </c>
      <c r="E204" s="5"/>
      <c r="F204" s="5" t="s">
        <v>31</v>
      </c>
      <c r="G204" s="7"/>
      <c r="H204" s="5" t="str">
        <f aca="false">IF($G204="","",IF(LOWER(TRIM($G204))=LOWER(TRIM($F204)),"Match","Mismatch"))</f>
        <v/>
      </c>
      <c r="I204" s="5" t="str">
        <f aca="false">IF($G204="","",IF(LOWER(TRIM($G204))=LOWER(TRIM($E204)),"Match","Mismatch"))</f>
        <v/>
      </c>
      <c r="J204" s="6"/>
    </row>
    <row r="205" customFormat="false" ht="15" hidden="false" customHeight="false" outlineLevel="0" collapsed="false">
      <c r="A205" s="5" t="s">
        <v>25</v>
      </c>
      <c r="B205" s="5" t="s">
        <v>158</v>
      </c>
      <c r="C205" s="5" t="s">
        <v>59</v>
      </c>
      <c r="D205" s="6" t="s">
        <v>63</v>
      </c>
      <c r="E205" s="5" t="s">
        <v>161</v>
      </c>
      <c r="F205" s="5" t="s">
        <v>162</v>
      </c>
      <c r="G205" s="7"/>
      <c r="H205" s="5" t="str">
        <f aca="false">IF($G205="","",IF(LOWER(TRIM($G205))=LOWER(TRIM($F205)),"Match","Mismatch"))</f>
        <v/>
      </c>
      <c r="I205" s="5" t="str">
        <f aca="false">IF($G205="","",IF(LOWER(TRIM($G205))=LOWER(TRIM($E205)),"Match","Mismatch"))</f>
        <v/>
      </c>
      <c r="J205" s="6"/>
    </row>
    <row r="206" customFormat="false" ht="23.85" hidden="false" customHeight="false" outlineLevel="0" collapsed="false">
      <c r="A206" s="5" t="s">
        <v>25</v>
      </c>
      <c r="B206" s="5" t="s">
        <v>158</v>
      </c>
      <c r="C206" s="5" t="s">
        <v>59</v>
      </c>
      <c r="D206" s="6" t="s">
        <v>65</v>
      </c>
      <c r="E206" s="5"/>
      <c r="F206" s="5" t="s">
        <v>31</v>
      </c>
      <c r="G206" s="7"/>
      <c r="H206" s="5" t="str">
        <f aca="false">IF($G206="","",IF(LOWER(TRIM($G206))=LOWER(TRIM($F206)),"Match","Mismatch"))</f>
        <v/>
      </c>
      <c r="I206" s="5" t="str">
        <f aca="false">IF($G206="","",IF(LOWER(TRIM($G206))=LOWER(TRIM($E206)),"Match","Mismatch"))</f>
        <v/>
      </c>
      <c r="J206" s="6"/>
    </row>
    <row r="207" customFormat="false" ht="23.85" hidden="false" customHeight="false" outlineLevel="0" collapsed="false">
      <c r="A207" s="5" t="s">
        <v>25</v>
      </c>
      <c r="B207" s="5" t="s">
        <v>158</v>
      </c>
      <c r="C207" s="5" t="s">
        <v>59</v>
      </c>
      <c r="D207" s="6" t="s">
        <v>66</v>
      </c>
      <c r="E207" s="5"/>
      <c r="F207" s="5" t="s">
        <v>31</v>
      </c>
      <c r="G207" s="7"/>
      <c r="H207" s="5" t="str">
        <f aca="false">IF($G207="","",IF(LOWER(TRIM($G207))=LOWER(TRIM($F207)),"Match","Mismatch"))</f>
        <v/>
      </c>
      <c r="I207" s="5" t="str">
        <f aca="false">IF($G207="","",IF(LOWER(TRIM($G207))=LOWER(TRIM($E207)),"Match","Mismatch"))</f>
        <v/>
      </c>
      <c r="J207" s="6"/>
    </row>
    <row r="208" customFormat="false" ht="15" hidden="false" customHeight="false" outlineLevel="0" collapsed="false">
      <c r="A208" s="5" t="s">
        <v>25</v>
      </c>
      <c r="B208" s="5" t="s">
        <v>158</v>
      </c>
      <c r="C208" s="5" t="s">
        <v>67</v>
      </c>
      <c r="D208" s="6" t="s">
        <v>68</v>
      </c>
      <c r="E208" s="5" t="s">
        <v>163</v>
      </c>
      <c r="F208" s="5" t="s">
        <v>164</v>
      </c>
      <c r="G208" s="7"/>
      <c r="H208" s="5" t="str">
        <f aca="false">IF($G208="","",IF(LOWER(TRIM($G208))=LOWER(TRIM($F208)),"Match","Mismatch"))</f>
        <v/>
      </c>
      <c r="I208" s="5" t="str">
        <f aca="false">IF($G208="","",IF(LOWER(TRIM($G208))=LOWER(TRIM($E208)),"Match","Mismatch"))</f>
        <v/>
      </c>
      <c r="J208" s="6"/>
    </row>
    <row r="209" customFormat="false" ht="15" hidden="false" customHeight="false" outlineLevel="0" collapsed="false">
      <c r="A209" s="5" t="s">
        <v>25</v>
      </c>
      <c r="B209" s="5" t="s">
        <v>158</v>
      </c>
      <c r="C209" s="5" t="s">
        <v>70</v>
      </c>
      <c r="D209" s="6" t="s">
        <v>71</v>
      </c>
      <c r="E209" s="5" t="s">
        <v>165</v>
      </c>
      <c r="F209" s="5" t="s">
        <v>166</v>
      </c>
      <c r="G209" s="7"/>
      <c r="H209" s="5" t="str">
        <f aca="false">IF($G209="","",IF(LOWER(TRIM($G209))=LOWER(TRIM($F209)),"Match","Mismatch"))</f>
        <v/>
      </c>
      <c r="I209" s="5" t="str">
        <f aca="false">IF($G209="","",IF(LOWER(TRIM($G209))=LOWER(TRIM($E209)),"Match","Mismatch"))</f>
        <v/>
      </c>
      <c r="J209" s="6"/>
    </row>
    <row r="210" customFormat="false" ht="15" hidden="false" customHeight="false" outlineLevel="0" collapsed="false">
      <c r="A210" s="5" t="s">
        <v>25</v>
      </c>
      <c r="B210" s="5" t="s">
        <v>158</v>
      </c>
      <c r="C210" s="5" t="s">
        <v>70</v>
      </c>
      <c r="D210" s="6" t="s">
        <v>75</v>
      </c>
      <c r="E210" s="5"/>
      <c r="F210" s="5" t="s">
        <v>167</v>
      </c>
      <c r="G210" s="7"/>
      <c r="H210" s="5" t="str">
        <f aca="false">IF($G210="","",IF(LOWER(TRIM($G210))=LOWER(TRIM($F210)),"Match","Mismatch"))</f>
        <v/>
      </c>
      <c r="I210" s="5" t="str">
        <f aca="false">IF($G210="","",IF(LOWER(TRIM($G210))=LOWER(TRIM($E210)),"Match","Mismatch"))</f>
        <v/>
      </c>
      <c r="J210" s="6"/>
    </row>
    <row r="211" customFormat="false" ht="15" hidden="false" customHeight="false" outlineLevel="0" collapsed="false">
      <c r="A211" s="5" t="s">
        <v>25</v>
      </c>
      <c r="B211" s="5" t="s">
        <v>158</v>
      </c>
      <c r="C211" s="5" t="s">
        <v>70</v>
      </c>
      <c r="D211" s="6" t="s">
        <v>77</v>
      </c>
      <c r="E211" s="5" t="s">
        <v>165</v>
      </c>
      <c r="F211" s="5" t="s">
        <v>168</v>
      </c>
      <c r="G211" s="7"/>
      <c r="H211" s="5" t="str">
        <f aca="false">IF($G211="","",IF(LOWER(TRIM($G211))=LOWER(TRIM($F211)),"Match","Mismatch"))</f>
        <v/>
      </c>
      <c r="I211" s="5" t="str">
        <f aca="false">IF($G211="","",IF(LOWER(TRIM($G211))=LOWER(TRIM($E211)),"Match","Mismatch"))</f>
        <v/>
      </c>
      <c r="J211" s="6"/>
    </row>
    <row r="212" customFormat="false" ht="15" hidden="false" customHeight="false" outlineLevel="0" collapsed="false">
      <c r="A212" s="5" t="s">
        <v>25</v>
      </c>
      <c r="B212" s="5" t="s">
        <v>158</v>
      </c>
      <c r="C212" s="5" t="s">
        <v>70</v>
      </c>
      <c r="D212" s="6" t="s">
        <v>80</v>
      </c>
      <c r="E212" s="5" t="s">
        <v>165</v>
      </c>
      <c r="F212" s="5" t="s">
        <v>169</v>
      </c>
      <c r="G212" s="7"/>
      <c r="H212" s="5" t="str">
        <f aca="false">IF($G212="","",IF(LOWER(TRIM($G212))=LOWER(TRIM($F212)),"Match","Mismatch"))</f>
        <v/>
      </c>
      <c r="I212" s="5" t="str">
        <f aca="false">IF($G212="","",IF(LOWER(TRIM($G212))=LOWER(TRIM($E212)),"Match","Mismatch"))</f>
        <v/>
      </c>
      <c r="J212" s="6"/>
    </row>
    <row r="213" customFormat="false" ht="15" hidden="false" customHeight="false" outlineLevel="0" collapsed="false">
      <c r="A213" s="5" t="s">
        <v>25</v>
      </c>
      <c r="B213" s="5" t="s">
        <v>158</v>
      </c>
      <c r="C213" s="5" t="s">
        <v>70</v>
      </c>
      <c r="D213" s="6" t="s">
        <v>82</v>
      </c>
      <c r="E213" s="5" t="s">
        <v>165</v>
      </c>
      <c r="F213" s="5" t="s">
        <v>170</v>
      </c>
      <c r="G213" s="7"/>
      <c r="H213" s="5" t="str">
        <f aca="false">IF($G213="","",IF(LOWER(TRIM($G213))=LOWER(TRIM($F213)),"Match","Mismatch"))</f>
        <v/>
      </c>
      <c r="I213" s="5" t="str">
        <f aca="false">IF($G213="","",IF(LOWER(TRIM($G213))=LOWER(TRIM($E213)),"Match","Mismatch"))</f>
        <v/>
      </c>
      <c r="J213" s="6"/>
    </row>
    <row r="214" customFormat="false" ht="15" hidden="false" customHeight="false" outlineLevel="0" collapsed="false">
      <c r="A214" s="5" t="s">
        <v>25</v>
      </c>
      <c r="B214" s="5" t="s">
        <v>158</v>
      </c>
      <c r="C214" s="5" t="s">
        <v>70</v>
      </c>
      <c r="D214" s="6" t="s">
        <v>84</v>
      </c>
      <c r="E214" s="5" t="s">
        <v>165</v>
      </c>
      <c r="F214" s="5" t="s">
        <v>101</v>
      </c>
      <c r="G214" s="7"/>
      <c r="H214" s="5" t="str">
        <f aca="false">IF($G214="","",IF(LOWER(TRIM($G214))=LOWER(TRIM($F214)),"Match","Mismatch"))</f>
        <v/>
      </c>
      <c r="I214" s="5" t="str">
        <f aca="false">IF($G214="","",IF(LOWER(TRIM($G214))=LOWER(TRIM($E214)),"Match","Mismatch"))</f>
        <v/>
      </c>
      <c r="J214" s="6"/>
    </row>
    <row r="215" customFormat="false" ht="15" hidden="false" customHeight="false" outlineLevel="0" collapsed="false">
      <c r="A215" s="5" t="s">
        <v>25</v>
      </c>
      <c r="B215" s="5" t="s">
        <v>158</v>
      </c>
      <c r="C215" s="5" t="s">
        <v>70</v>
      </c>
      <c r="D215" s="6" t="s">
        <v>86</v>
      </c>
      <c r="E215" s="5" t="s">
        <v>165</v>
      </c>
      <c r="F215" s="5" t="s">
        <v>171</v>
      </c>
      <c r="G215" s="7"/>
      <c r="H215" s="5" t="str">
        <f aca="false">IF($G215="","",IF(LOWER(TRIM($G215))=LOWER(TRIM($F215)),"Match","Mismatch"))</f>
        <v/>
      </c>
      <c r="I215" s="5" t="str">
        <f aca="false">IF($G215="","",IF(LOWER(TRIM($G215))=LOWER(TRIM($E215)),"Match","Mismatch"))</f>
        <v/>
      </c>
      <c r="J215" s="6"/>
    </row>
    <row r="216" customFormat="false" ht="23.85" hidden="false" customHeight="false" outlineLevel="0" collapsed="false">
      <c r="A216" s="5" t="s">
        <v>25</v>
      </c>
      <c r="B216" s="5" t="s">
        <v>172</v>
      </c>
      <c r="C216" s="5" t="s">
        <v>27</v>
      </c>
      <c r="D216" s="6" t="s">
        <v>30</v>
      </c>
      <c r="E216" s="5"/>
      <c r="F216" s="5" t="s">
        <v>29</v>
      </c>
      <c r="G216" s="7"/>
      <c r="H216" s="5" t="str">
        <f aca="false">IF($G216="","",IF(LOWER(TRIM($G216))=LOWER(TRIM($F216)),"Match","Mismatch"))</f>
        <v/>
      </c>
      <c r="I216" s="5" t="str">
        <f aca="false">IF($G216="","",IF(LOWER(TRIM($G216))=LOWER(TRIM($E216)),"Match","Mismatch"))</f>
        <v/>
      </c>
      <c r="J216" s="6"/>
    </row>
    <row r="217" customFormat="false" ht="35.05" hidden="false" customHeight="false" outlineLevel="0" collapsed="false">
      <c r="A217" s="5" t="s">
        <v>25</v>
      </c>
      <c r="B217" s="5" t="s">
        <v>172</v>
      </c>
      <c r="C217" s="5" t="s">
        <v>27</v>
      </c>
      <c r="D217" s="6" t="s">
        <v>32</v>
      </c>
      <c r="E217" s="5"/>
      <c r="F217" s="5" t="s">
        <v>31</v>
      </c>
      <c r="G217" s="7"/>
      <c r="H217" s="5" t="str">
        <f aca="false">IF($G217="","",IF(LOWER(TRIM($G217))=LOWER(TRIM($F217)),"Match","Mismatch"))</f>
        <v/>
      </c>
      <c r="I217" s="5" t="str">
        <f aca="false">IF($G217="","",IF(LOWER(TRIM($G217))=LOWER(TRIM($E217)),"Match","Mismatch"))</f>
        <v/>
      </c>
      <c r="J217" s="6"/>
    </row>
    <row r="218" customFormat="false" ht="35.05" hidden="false" customHeight="false" outlineLevel="0" collapsed="false">
      <c r="A218" s="5" t="s">
        <v>25</v>
      </c>
      <c r="B218" s="5" t="s">
        <v>172</v>
      </c>
      <c r="C218" s="5" t="s">
        <v>27</v>
      </c>
      <c r="D218" s="6" t="s">
        <v>33</v>
      </c>
      <c r="E218" s="5"/>
      <c r="F218" s="5" t="s">
        <v>29</v>
      </c>
      <c r="G218" s="7"/>
      <c r="H218" s="5" t="str">
        <f aca="false">IF($G218="","",IF(LOWER(TRIM($G218))=LOWER(TRIM($F218)),"Match","Mismatch"))</f>
        <v/>
      </c>
      <c r="I218" s="5" t="str">
        <f aca="false">IF($G218="","",IF(LOWER(TRIM($G218))=LOWER(TRIM($E218)),"Match","Mismatch"))</f>
        <v/>
      </c>
      <c r="J218" s="6"/>
    </row>
    <row r="219" customFormat="false" ht="15" hidden="false" customHeight="false" outlineLevel="0" collapsed="false">
      <c r="A219" s="5" t="s">
        <v>25</v>
      </c>
      <c r="B219" s="5" t="s">
        <v>172</v>
      </c>
      <c r="C219" s="5" t="s">
        <v>27</v>
      </c>
      <c r="D219" s="6" t="s">
        <v>35</v>
      </c>
      <c r="E219" s="5"/>
      <c r="F219" s="5" t="s">
        <v>173</v>
      </c>
      <c r="G219" s="7"/>
      <c r="H219" s="5" t="str">
        <f aca="false">IF($G219="","",IF(LOWER(TRIM($G219))=LOWER(TRIM($F219)),"Match","Mismatch"))</f>
        <v/>
      </c>
      <c r="I219" s="5" t="str">
        <f aca="false">IF($G219="","",IF(LOWER(TRIM($G219))=LOWER(TRIM($E219)),"Match","Mismatch"))</f>
        <v/>
      </c>
      <c r="J219" s="6"/>
    </row>
    <row r="220" customFormat="false" ht="23.85" hidden="false" customHeight="false" outlineLevel="0" collapsed="false">
      <c r="A220" s="5" t="s">
        <v>25</v>
      </c>
      <c r="B220" s="5" t="s">
        <v>172</v>
      </c>
      <c r="C220" s="5" t="s">
        <v>27</v>
      </c>
      <c r="D220" s="6" t="s">
        <v>37</v>
      </c>
      <c r="E220" s="5"/>
      <c r="F220" s="5" t="s">
        <v>31</v>
      </c>
      <c r="G220" s="7"/>
      <c r="H220" s="5" t="str">
        <f aca="false">IF($G220="","",IF(LOWER(TRIM($G220))=LOWER(TRIM($F220)),"Match","Mismatch"))</f>
        <v/>
      </c>
      <c r="I220" s="5" t="str">
        <f aca="false">IF($G220="","",IF(LOWER(TRIM($G220))=LOWER(TRIM($E220)),"Match","Mismatch"))</f>
        <v/>
      </c>
      <c r="J220" s="6"/>
    </row>
    <row r="221" customFormat="false" ht="23.85" hidden="false" customHeight="false" outlineLevel="0" collapsed="false">
      <c r="A221" s="5" t="s">
        <v>25</v>
      </c>
      <c r="B221" s="5" t="s">
        <v>172</v>
      </c>
      <c r="C221" s="5" t="s">
        <v>27</v>
      </c>
      <c r="D221" s="6" t="s">
        <v>38</v>
      </c>
      <c r="E221" s="5"/>
      <c r="F221" s="5" t="s">
        <v>31</v>
      </c>
      <c r="G221" s="7"/>
      <c r="H221" s="5" t="str">
        <f aca="false">IF($G221="","",IF(LOWER(TRIM($G221))=LOWER(TRIM($F221)),"Match","Mismatch"))</f>
        <v/>
      </c>
      <c r="I221" s="5" t="str">
        <f aca="false">IF($G221="","",IF(LOWER(TRIM($G221))=LOWER(TRIM($E221)),"Match","Mismatch"))</f>
        <v/>
      </c>
      <c r="J221" s="6"/>
    </row>
    <row r="222" customFormat="false" ht="23.85" hidden="false" customHeight="false" outlineLevel="0" collapsed="false">
      <c r="A222" s="5" t="s">
        <v>25</v>
      </c>
      <c r="B222" s="5" t="s">
        <v>172</v>
      </c>
      <c r="C222" s="5" t="s">
        <v>39</v>
      </c>
      <c r="D222" s="6" t="s">
        <v>42</v>
      </c>
      <c r="E222" s="5" t="s">
        <v>55</v>
      </c>
      <c r="F222" s="5" t="s">
        <v>41</v>
      </c>
      <c r="G222" s="7"/>
      <c r="H222" s="5" t="str">
        <f aca="false">IF($G222="","",IF(LOWER(TRIM($G222))=LOWER(TRIM($F222)),"Match","Mismatch"))</f>
        <v/>
      </c>
      <c r="I222" s="5" t="str">
        <f aca="false">IF($G222="","",IF(LOWER(TRIM($G222))=LOWER(TRIM($E222)),"Match","Mismatch"))</f>
        <v/>
      </c>
      <c r="J222" s="6"/>
    </row>
    <row r="223" customFormat="false" ht="23.85" hidden="false" customHeight="false" outlineLevel="0" collapsed="false">
      <c r="A223" s="5" t="s">
        <v>25</v>
      </c>
      <c r="B223" s="5" t="s">
        <v>172</v>
      </c>
      <c r="C223" s="5" t="s">
        <v>39</v>
      </c>
      <c r="D223" s="6" t="s">
        <v>44</v>
      </c>
      <c r="E223" s="5" t="s">
        <v>41</v>
      </c>
      <c r="F223" s="5" t="s">
        <v>55</v>
      </c>
      <c r="G223" s="7"/>
      <c r="H223" s="5" t="str">
        <f aca="false">IF($G223="","",IF(LOWER(TRIM($G223))=LOWER(TRIM($F223)),"Match","Mismatch"))</f>
        <v/>
      </c>
      <c r="I223" s="5" t="str">
        <f aca="false">IF($G223="","",IF(LOWER(TRIM($G223))=LOWER(TRIM($E223)),"Match","Mismatch"))</f>
        <v/>
      </c>
      <c r="J223" s="6"/>
    </row>
    <row r="224" customFormat="false" ht="15" hidden="false" customHeight="false" outlineLevel="0" collapsed="false">
      <c r="A224" s="5" t="s">
        <v>25</v>
      </c>
      <c r="B224" s="5" t="s">
        <v>172</v>
      </c>
      <c r="C224" s="5" t="s">
        <v>39</v>
      </c>
      <c r="D224" s="6" t="s">
        <v>45</v>
      </c>
      <c r="E224" s="5" t="s">
        <v>41</v>
      </c>
      <c r="F224" s="5" t="s">
        <v>46</v>
      </c>
      <c r="G224" s="7"/>
      <c r="H224" s="5" t="str">
        <f aca="false">IF($G224="","",IF(LOWER(TRIM($G224))=LOWER(TRIM($F224)),"Match","Mismatch"))</f>
        <v/>
      </c>
      <c r="I224" s="5" t="str">
        <f aca="false">IF($G224="","",IF(LOWER(TRIM($G224))=LOWER(TRIM($E224)),"Match","Mismatch"))</f>
        <v/>
      </c>
      <c r="J224" s="6"/>
    </row>
    <row r="225" customFormat="false" ht="15" hidden="false" customHeight="false" outlineLevel="0" collapsed="false">
      <c r="A225" s="5" t="s">
        <v>25</v>
      </c>
      <c r="B225" s="5" t="s">
        <v>172</v>
      </c>
      <c r="C225" s="5" t="s">
        <v>39</v>
      </c>
      <c r="D225" s="6" t="s">
        <v>47</v>
      </c>
      <c r="E225" s="5" t="s">
        <v>41</v>
      </c>
      <c r="F225" s="5" t="s">
        <v>43</v>
      </c>
      <c r="G225" s="7"/>
      <c r="H225" s="5" t="str">
        <f aca="false">IF($G225="","",IF(LOWER(TRIM($G225))=LOWER(TRIM($F225)),"Match","Mismatch"))</f>
        <v/>
      </c>
      <c r="I225" s="5" t="str">
        <f aca="false">IF($G225="","",IF(LOWER(TRIM($G225))=LOWER(TRIM($E225)),"Match","Mismatch"))</f>
        <v/>
      </c>
      <c r="J225" s="6"/>
    </row>
    <row r="226" customFormat="false" ht="15" hidden="false" customHeight="false" outlineLevel="0" collapsed="false">
      <c r="A226" s="5" t="s">
        <v>25</v>
      </c>
      <c r="B226" s="5" t="s">
        <v>172</v>
      </c>
      <c r="C226" s="5" t="s">
        <v>39</v>
      </c>
      <c r="D226" s="6" t="s">
        <v>48</v>
      </c>
      <c r="E226" s="5" t="s">
        <v>41</v>
      </c>
      <c r="F226" s="5" t="s">
        <v>46</v>
      </c>
      <c r="G226" s="7"/>
      <c r="H226" s="5" t="str">
        <f aca="false">IF($G226="","",IF(LOWER(TRIM($G226))=LOWER(TRIM($F226)),"Match","Mismatch"))</f>
        <v/>
      </c>
      <c r="I226" s="5" t="str">
        <f aca="false">IF($G226="","",IF(LOWER(TRIM($G226))=LOWER(TRIM($E226)),"Match","Mismatch"))</f>
        <v/>
      </c>
      <c r="J226" s="6"/>
    </row>
    <row r="227" customFormat="false" ht="15" hidden="false" customHeight="false" outlineLevel="0" collapsed="false">
      <c r="A227" s="5" t="s">
        <v>25</v>
      </c>
      <c r="B227" s="5" t="s">
        <v>172</v>
      </c>
      <c r="C227" s="5" t="s">
        <v>39</v>
      </c>
      <c r="D227" s="6" t="s">
        <v>49</v>
      </c>
      <c r="E227" s="5" t="s">
        <v>41</v>
      </c>
      <c r="F227" s="5" t="s">
        <v>46</v>
      </c>
      <c r="G227" s="7"/>
      <c r="H227" s="5" t="str">
        <f aca="false">IF($G227="","",IF(LOWER(TRIM($G227))=LOWER(TRIM($F227)),"Match","Mismatch"))</f>
        <v/>
      </c>
      <c r="I227" s="5" t="str">
        <f aca="false">IF($G227="","",IF(LOWER(TRIM($G227))=LOWER(TRIM($E227)),"Match","Mismatch"))</f>
        <v/>
      </c>
      <c r="J227" s="6"/>
    </row>
    <row r="228" customFormat="false" ht="23.85" hidden="false" customHeight="false" outlineLevel="0" collapsed="false">
      <c r="A228" s="5" t="s">
        <v>25</v>
      </c>
      <c r="B228" s="5" t="s">
        <v>172</v>
      </c>
      <c r="C228" s="5" t="s">
        <v>39</v>
      </c>
      <c r="D228" s="6" t="s">
        <v>50</v>
      </c>
      <c r="E228" s="5" t="s">
        <v>43</v>
      </c>
      <c r="F228" s="5" t="s">
        <v>55</v>
      </c>
      <c r="G228" s="7"/>
      <c r="H228" s="5" t="str">
        <f aca="false">IF($G228="","",IF(LOWER(TRIM($G228))=LOWER(TRIM($F228)),"Match","Mismatch"))</f>
        <v/>
      </c>
      <c r="I228" s="5" t="str">
        <f aca="false">IF($G228="","",IF(LOWER(TRIM($G228))=LOWER(TRIM($E228)),"Match","Mismatch"))</f>
        <v/>
      </c>
      <c r="J228" s="6"/>
    </row>
    <row r="229" customFormat="false" ht="15" hidden="false" customHeight="false" outlineLevel="0" collapsed="false">
      <c r="A229" s="5" t="s">
        <v>25</v>
      </c>
      <c r="B229" s="5" t="s">
        <v>172</v>
      </c>
      <c r="C229" s="5" t="s">
        <v>39</v>
      </c>
      <c r="D229" s="6" t="s">
        <v>51</v>
      </c>
      <c r="E229" s="5" t="s">
        <v>41</v>
      </c>
      <c r="F229" s="5" t="s">
        <v>46</v>
      </c>
      <c r="G229" s="7"/>
      <c r="H229" s="5" t="str">
        <f aca="false">IF($G229="","",IF(LOWER(TRIM($G229))=LOWER(TRIM($F229)),"Match","Mismatch"))</f>
        <v/>
      </c>
      <c r="I229" s="5" t="str">
        <f aca="false">IF($G229="","",IF(LOWER(TRIM($G229))=LOWER(TRIM($E229)),"Match","Mismatch"))</f>
        <v/>
      </c>
      <c r="J229" s="6"/>
    </row>
    <row r="230" customFormat="false" ht="15" hidden="false" customHeight="false" outlineLevel="0" collapsed="false">
      <c r="A230" s="5" t="s">
        <v>25</v>
      </c>
      <c r="B230" s="5" t="s">
        <v>172</v>
      </c>
      <c r="C230" s="5" t="s">
        <v>39</v>
      </c>
      <c r="D230" s="6" t="s">
        <v>52</v>
      </c>
      <c r="E230" s="5" t="s">
        <v>41</v>
      </c>
      <c r="F230" s="5" t="s">
        <v>46</v>
      </c>
      <c r="G230" s="7"/>
      <c r="H230" s="5" t="str">
        <f aca="false">IF($G230="","",IF(LOWER(TRIM($G230))=LOWER(TRIM($F230)),"Match","Mismatch"))</f>
        <v/>
      </c>
      <c r="I230" s="5" t="str">
        <f aca="false">IF($G230="","",IF(LOWER(TRIM($G230))=LOWER(TRIM($E230)),"Match","Mismatch"))</f>
        <v/>
      </c>
      <c r="J230" s="6"/>
    </row>
    <row r="231" customFormat="false" ht="15" hidden="false" customHeight="false" outlineLevel="0" collapsed="false">
      <c r="A231" s="5" t="s">
        <v>25</v>
      </c>
      <c r="B231" s="5" t="s">
        <v>172</v>
      </c>
      <c r="C231" s="5" t="s">
        <v>39</v>
      </c>
      <c r="D231" s="6" t="s">
        <v>53</v>
      </c>
      <c r="E231" s="5" t="s">
        <v>41</v>
      </c>
      <c r="F231" s="5" t="s">
        <v>46</v>
      </c>
      <c r="G231" s="7"/>
      <c r="H231" s="5" t="str">
        <f aca="false">IF($G231="","",IF(LOWER(TRIM($G231))=LOWER(TRIM($F231)),"Match","Mismatch"))</f>
        <v/>
      </c>
      <c r="I231" s="5" t="str">
        <f aca="false">IF($G231="","",IF(LOWER(TRIM($G231))=LOWER(TRIM($E231)),"Match","Mismatch"))</f>
        <v/>
      </c>
      <c r="J231" s="6"/>
    </row>
    <row r="232" customFormat="false" ht="15" hidden="false" customHeight="false" outlineLevel="0" collapsed="false">
      <c r="A232" s="5" t="s">
        <v>25</v>
      </c>
      <c r="B232" s="5" t="s">
        <v>172</v>
      </c>
      <c r="C232" s="5" t="s">
        <v>39</v>
      </c>
      <c r="D232" s="6" t="s">
        <v>54</v>
      </c>
      <c r="E232" s="5" t="s">
        <v>41</v>
      </c>
      <c r="F232" s="5" t="s">
        <v>46</v>
      </c>
      <c r="G232" s="7"/>
      <c r="H232" s="5" t="str">
        <f aca="false">IF($G232="","",IF(LOWER(TRIM($G232))=LOWER(TRIM($F232)),"Match","Mismatch"))</f>
        <v/>
      </c>
      <c r="I232" s="5" t="str">
        <f aca="false">IF($G232="","",IF(LOWER(TRIM($G232))=LOWER(TRIM($E232)),"Match","Mismatch"))</f>
        <v/>
      </c>
      <c r="J232" s="6"/>
    </row>
    <row r="233" customFormat="false" ht="23.85" hidden="false" customHeight="false" outlineLevel="0" collapsed="false">
      <c r="A233" s="5" t="s">
        <v>25</v>
      </c>
      <c r="B233" s="5" t="s">
        <v>172</v>
      </c>
      <c r="C233" s="5" t="s">
        <v>39</v>
      </c>
      <c r="D233" s="6" t="s">
        <v>56</v>
      </c>
      <c r="E233" s="5" t="s">
        <v>41</v>
      </c>
      <c r="F233" s="5" t="s">
        <v>55</v>
      </c>
      <c r="G233" s="7"/>
      <c r="H233" s="5" t="str">
        <f aca="false">IF($G233="","",IF(LOWER(TRIM($G233))=LOWER(TRIM($F233)),"Match","Mismatch"))</f>
        <v/>
      </c>
      <c r="I233" s="5" t="str">
        <f aca="false">IF($G233="","",IF(LOWER(TRIM($G233))=LOWER(TRIM($E233)),"Match","Mismatch"))</f>
        <v/>
      </c>
      <c r="J233" s="6"/>
    </row>
    <row r="234" customFormat="false" ht="15" hidden="false" customHeight="false" outlineLevel="0" collapsed="false">
      <c r="A234" s="5" t="s">
        <v>25</v>
      </c>
      <c r="B234" s="5" t="s">
        <v>172</v>
      </c>
      <c r="C234" s="5" t="s">
        <v>39</v>
      </c>
      <c r="D234" s="6" t="s">
        <v>57</v>
      </c>
      <c r="E234" s="5" t="s">
        <v>41</v>
      </c>
      <c r="F234" s="5" t="s">
        <v>43</v>
      </c>
      <c r="G234" s="7"/>
      <c r="H234" s="5" t="str">
        <f aca="false">IF($G234="","",IF(LOWER(TRIM($G234))=LOWER(TRIM($F234)),"Match","Mismatch"))</f>
        <v/>
      </c>
      <c r="I234" s="5" t="str">
        <f aca="false">IF($G234="","",IF(LOWER(TRIM($G234))=LOWER(TRIM($E234)),"Match","Mismatch"))</f>
        <v/>
      </c>
      <c r="J234" s="6"/>
    </row>
    <row r="235" customFormat="false" ht="15" hidden="false" customHeight="false" outlineLevel="0" collapsed="false">
      <c r="A235" s="5" t="s">
        <v>25</v>
      </c>
      <c r="B235" s="5" t="s">
        <v>172</v>
      </c>
      <c r="C235" s="5" t="s">
        <v>39</v>
      </c>
      <c r="D235" s="6" t="s">
        <v>58</v>
      </c>
      <c r="E235" s="5" t="s">
        <v>41</v>
      </c>
      <c r="F235" s="5" t="s">
        <v>55</v>
      </c>
      <c r="G235" s="7"/>
      <c r="H235" s="5" t="str">
        <f aca="false">IF($G235="","",IF(LOWER(TRIM($G235))=LOWER(TRIM($F235)),"Match","Mismatch"))</f>
        <v/>
      </c>
      <c r="I235" s="5" t="str">
        <f aca="false">IF($G235="","",IF(LOWER(TRIM($G235))=LOWER(TRIM($E235)),"Match","Mismatch"))</f>
        <v/>
      </c>
      <c r="J235" s="6"/>
    </row>
    <row r="236" customFormat="false" ht="23.85" hidden="false" customHeight="false" outlineLevel="0" collapsed="false">
      <c r="A236" s="5" t="s">
        <v>25</v>
      </c>
      <c r="B236" s="5" t="s">
        <v>172</v>
      </c>
      <c r="C236" s="5" t="s">
        <v>59</v>
      </c>
      <c r="D236" s="6" t="s">
        <v>61</v>
      </c>
      <c r="E236" s="5" t="s">
        <v>29</v>
      </c>
      <c r="F236" s="5" t="s">
        <v>31</v>
      </c>
      <c r="G236" s="7"/>
      <c r="H236" s="5" t="str">
        <f aca="false">IF($G236="","",IF(LOWER(TRIM($G236))=LOWER(TRIM($F236)),"Match","Mismatch"))</f>
        <v/>
      </c>
      <c r="I236" s="5" t="str">
        <f aca="false">IF($G236="","",IF(LOWER(TRIM($G236))=LOWER(TRIM($E236)),"Match","Mismatch"))</f>
        <v/>
      </c>
      <c r="J236" s="6"/>
    </row>
    <row r="237" customFormat="false" ht="15" hidden="false" customHeight="false" outlineLevel="0" collapsed="false">
      <c r="A237" s="5" t="s">
        <v>25</v>
      </c>
      <c r="B237" s="5" t="s">
        <v>172</v>
      </c>
      <c r="C237" s="5" t="s">
        <v>59</v>
      </c>
      <c r="D237" s="6" t="s">
        <v>63</v>
      </c>
      <c r="E237" s="5" t="s">
        <v>174</v>
      </c>
      <c r="F237" s="5" t="s">
        <v>175</v>
      </c>
      <c r="G237" s="7"/>
      <c r="H237" s="5" t="str">
        <f aca="false">IF($G237="","",IF(LOWER(TRIM($G237))=LOWER(TRIM($F237)),"Match","Mismatch"))</f>
        <v/>
      </c>
      <c r="I237" s="5" t="str">
        <f aca="false">IF($G237="","",IF(LOWER(TRIM($G237))=LOWER(TRIM($E237)),"Match","Mismatch"))</f>
        <v/>
      </c>
      <c r="J237" s="6"/>
    </row>
    <row r="238" customFormat="false" ht="23.85" hidden="false" customHeight="false" outlineLevel="0" collapsed="false">
      <c r="A238" s="5" t="s">
        <v>25</v>
      </c>
      <c r="B238" s="5" t="s">
        <v>172</v>
      </c>
      <c r="C238" s="5" t="s">
        <v>59</v>
      </c>
      <c r="D238" s="6" t="s">
        <v>65</v>
      </c>
      <c r="E238" s="5"/>
      <c r="F238" s="5" t="s">
        <v>29</v>
      </c>
      <c r="G238" s="7"/>
      <c r="H238" s="5" t="str">
        <f aca="false">IF($G238="","",IF(LOWER(TRIM($G238))=LOWER(TRIM($F238)),"Match","Mismatch"))</f>
        <v/>
      </c>
      <c r="I238" s="5" t="str">
        <f aca="false">IF($G238="","",IF(LOWER(TRIM($G238))=LOWER(TRIM($E238)),"Match","Mismatch"))</f>
        <v/>
      </c>
      <c r="J238" s="6"/>
    </row>
    <row r="239" customFormat="false" ht="23.85" hidden="false" customHeight="false" outlineLevel="0" collapsed="false">
      <c r="A239" s="5" t="s">
        <v>25</v>
      </c>
      <c r="B239" s="5" t="s">
        <v>172</v>
      </c>
      <c r="C239" s="5" t="s">
        <v>59</v>
      </c>
      <c r="D239" s="6" t="s">
        <v>66</v>
      </c>
      <c r="E239" s="5" t="s">
        <v>29</v>
      </c>
      <c r="F239" s="5" t="s">
        <v>31</v>
      </c>
      <c r="G239" s="7"/>
      <c r="H239" s="5" t="str">
        <f aca="false">IF($G239="","",IF(LOWER(TRIM($G239))=LOWER(TRIM($F239)),"Match","Mismatch"))</f>
        <v/>
      </c>
      <c r="I239" s="5" t="str">
        <f aca="false">IF($G239="","",IF(LOWER(TRIM($G239))=LOWER(TRIM($E239)),"Match","Mismatch"))</f>
        <v/>
      </c>
      <c r="J239" s="6"/>
    </row>
    <row r="240" customFormat="false" ht="15" hidden="false" customHeight="false" outlineLevel="0" collapsed="false">
      <c r="A240" s="5" t="s">
        <v>25</v>
      </c>
      <c r="B240" s="5" t="s">
        <v>172</v>
      </c>
      <c r="C240" s="5" t="s">
        <v>67</v>
      </c>
      <c r="D240" s="6" t="s">
        <v>68</v>
      </c>
      <c r="E240" s="5" t="s">
        <v>176</v>
      </c>
      <c r="F240" s="5" t="s">
        <v>177</v>
      </c>
      <c r="G240" s="7"/>
      <c r="H240" s="5" t="str">
        <f aca="false">IF($G240="","",IF(LOWER(TRIM($G240))=LOWER(TRIM($F240)),"Match","Mismatch"))</f>
        <v/>
      </c>
      <c r="I240" s="5" t="str">
        <f aca="false">IF($G240="","",IF(LOWER(TRIM($G240))=LOWER(TRIM($E240)),"Match","Mismatch"))</f>
        <v/>
      </c>
      <c r="J240" s="6"/>
    </row>
    <row r="241" customFormat="false" ht="15" hidden="false" customHeight="false" outlineLevel="0" collapsed="false">
      <c r="A241" s="5" t="s">
        <v>25</v>
      </c>
      <c r="B241" s="5" t="s">
        <v>172</v>
      </c>
      <c r="C241" s="5" t="s">
        <v>70</v>
      </c>
      <c r="D241" s="6" t="s">
        <v>71</v>
      </c>
      <c r="E241" s="5" t="s">
        <v>178</v>
      </c>
      <c r="F241" s="5" t="s">
        <v>179</v>
      </c>
      <c r="G241" s="7"/>
      <c r="H241" s="5" t="str">
        <f aca="false">IF($G241="","",IF(LOWER(TRIM($G241))=LOWER(TRIM($F241)),"Match","Mismatch"))</f>
        <v/>
      </c>
      <c r="I241" s="5" t="str">
        <f aca="false">IF($G241="","",IF(LOWER(TRIM($G241))=LOWER(TRIM($E241)),"Match","Mismatch"))</f>
        <v/>
      </c>
      <c r="J241" s="6"/>
    </row>
    <row r="242" customFormat="false" ht="15" hidden="false" customHeight="false" outlineLevel="0" collapsed="false">
      <c r="A242" s="5" t="s">
        <v>25</v>
      </c>
      <c r="B242" s="5" t="s">
        <v>172</v>
      </c>
      <c r="C242" s="5" t="s">
        <v>70</v>
      </c>
      <c r="D242" s="6" t="s">
        <v>73</v>
      </c>
      <c r="E242" s="5" t="s">
        <v>178</v>
      </c>
      <c r="F242" s="5" t="s">
        <v>180</v>
      </c>
      <c r="G242" s="7"/>
      <c r="H242" s="5" t="str">
        <f aca="false">IF($G242="","",IF(LOWER(TRIM($G242))=LOWER(TRIM($F242)),"Match","Mismatch"))</f>
        <v/>
      </c>
      <c r="I242" s="5" t="str">
        <f aca="false">IF($G242="","",IF(LOWER(TRIM($G242))=LOWER(TRIM($E242)),"Match","Mismatch"))</f>
        <v/>
      </c>
      <c r="J242" s="6"/>
    </row>
    <row r="243" customFormat="false" ht="15" hidden="false" customHeight="false" outlineLevel="0" collapsed="false">
      <c r="A243" s="5" t="s">
        <v>25</v>
      </c>
      <c r="B243" s="5" t="s">
        <v>172</v>
      </c>
      <c r="C243" s="5" t="s">
        <v>70</v>
      </c>
      <c r="D243" s="6" t="s">
        <v>75</v>
      </c>
      <c r="E243" s="5" t="s">
        <v>178</v>
      </c>
      <c r="F243" s="5" t="s">
        <v>181</v>
      </c>
      <c r="G243" s="7"/>
      <c r="H243" s="5" t="str">
        <f aca="false">IF($G243="","",IF(LOWER(TRIM($G243))=LOWER(TRIM($F243)),"Match","Mismatch"))</f>
        <v/>
      </c>
      <c r="I243" s="5" t="str">
        <f aca="false">IF($G243="","",IF(LOWER(TRIM($G243))=LOWER(TRIM($E243)),"Match","Mismatch"))</f>
        <v/>
      </c>
      <c r="J243" s="6"/>
    </row>
    <row r="244" customFormat="false" ht="15" hidden="false" customHeight="false" outlineLevel="0" collapsed="false">
      <c r="A244" s="5" t="s">
        <v>25</v>
      </c>
      <c r="B244" s="5" t="s">
        <v>172</v>
      </c>
      <c r="C244" s="5" t="s">
        <v>70</v>
      </c>
      <c r="D244" s="6" t="s">
        <v>77</v>
      </c>
      <c r="E244" s="5" t="s">
        <v>178</v>
      </c>
      <c r="F244" s="5" t="s">
        <v>182</v>
      </c>
      <c r="G244" s="7"/>
      <c r="H244" s="5" t="str">
        <f aca="false">IF($G244="","",IF(LOWER(TRIM($G244))=LOWER(TRIM($F244)),"Match","Mismatch"))</f>
        <v/>
      </c>
      <c r="I244" s="5" t="str">
        <f aca="false">IF($G244="","",IF(LOWER(TRIM($G244))=LOWER(TRIM($E244)),"Match","Mismatch"))</f>
        <v/>
      </c>
      <c r="J244" s="6"/>
    </row>
    <row r="245" customFormat="false" ht="15" hidden="false" customHeight="false" outlineLevel="0" collapsed="false">
      <c r="A245" s="5" t="s">
        <v>25</v>
      </c>
      <c r="B245" s="5" t="s">
        <v>172</v>
      </c>
      <c r="C245" s="5" t="s">
        <v>70</v>
      </c>
      <c r="D245" s="6" t="s">
        <v>80</v>
      </c>
      <c r="E245" s="5"/>
      <c r="F245" s="5" t="s">
        <v>183</v>
      </c>
      <c r="G245" s="7"/>
      <c r="H245" s="5" t="str">
        <f aca="false">IF($G245="","",IF(LOWER(TRIM($G245))=LOWER(TRIM($F245)),"Match","Mismatch"))</f>
        <v/>
      </c>
      <c r="I245" s="5" t="str">
        <f aca="false">IF($G245="","",IF(LOWER(TRIM($G245))=LOWER(TRIM($E245)),"Match","Mismatch"))</f>
        <v/>
      </c>
      <c r="J245" s="6"/>
    </row>
    <row r="246" customFormat="false" ht="15" hidden="false" customHeight="false" outlineLevel="0" collapsed="false">
      <c r="A246" s="5" t="s">
        <v>25</v>
      </c>
      <c r="B246" s="5" t="s">
        <v>172</v>
      </c>
      <c r="C246" s="5" t="s">
        <v>70</v>
      </c>
      <c r="D246" s="6" t="s">
        <v>82</v>
      </c>
      <c r="E246" s="5" t="s">
        <v>178</v>
      </c>
      <c r="F246" s="5" t="s">
        <v>184</v>
      </c>
      <c r="G246" s="7"/>
      <c r="H246" s="5" t="str">
        <f aca="false">IF($G246="","",IF(LOWER(TRIM($G246))=LOWER(TRIM($F246)),"Match","Mismatch"))</f>
        <v/>
      </c>
      <c r="I246" s="5" t="str">
        <f aca="false">IF($G246="","",IF(LOWER(TRIM($G246))=LOWER(TRIM($E246)),"Match","Mismatch"))</f>
        <v/>
      </c>
      <c r="J246" s="6"/>
    </row>
    <row r="247" customFormat="false" ht="15" hidden="false" customHeight="false" outlineLevel="0" collapsed="false">
      <c r="A247" s="5" t="s">
        <v>25</v>
      </c>
      <c r="B247" s="5" t="s">
        <v>172</v>
      </c>
      <c r="C247" s="5" t="s">
        <v>70</v>
      </c>
      <c r="D247" s="6" t="s">
        <v>84</v>
      </c>
      <c r="E247" s="5" t="s">
        <v>178</v>
      </c>
      <c r="F247" s="5" t="s">
        <v>101</v>
      </c>
      <c r="G247" s="7"/>
      <c r="H247" s="5" t="str">
        <f aca="false">IF($G247="","",IF(LOWER(TRIM($G247))=LOWER(TRIM($F247)),"Match","Mismatch"))</f>
        <v/>
      </c>
      <c r="I247" s="5" t="str">
        <f aca="false">IF($G247="","",IF(LOWER(TRIM($G247))=LOWER(TRIM($E247)),"Match","Mismatch"))</f>
        <v/>
      </c>
      <c r="J247" s="6"/>
    </row>
    <row r="248" customFormat="false" ht="15" hidden="false" customHeight="false" outlineLevel="0" collapsed="false">
      <c r="A248" s="5" t="s">
        <v>25</v>
      </c>
      <c r="B248" s="5" t="s">
        <v>172</v>
      </c>
      <c r="C248" s="5" t="s">
        <v>70</v>
      </c>
      <c r="D248" s="6" t="s">
        <v>86</v>
      </c>
      <c r="E248" s="5" t="s">
        <v>178</v>
      </c>
      <c r="F248" s="5" t="s">
        <v>185</v>
      </c>
      <c r="G248" s="7"/>
      <c r="H248" s="5" t="str">
        <f aca="false">IF($G248="","",IF(LOWER(TRIM($G248))=LOWER(TRIM($F248)),"Match","Mismatch"))</f>
        <v/>
      </c>
      <c r="I248" s="5" t="str">
        <f aca="false">IF($G248="","",IF(LOWER(TRIM($G248))=LOWER(TRIM($E248)),"Match","Mismatch"))</f>
        <v/>
      </c>
      <c r="J248" s="6"/>
    </row>
    <row r="249" customFormat="false" ht="23.85" hidden="false" customHeight="false" outlineLevel="0" collapsed="false">
      <c r="A249" s="5" t="s">
        <v>25</v>
      </c>
      <c r="B249" s="5" t="s">
        <v>186</v>
      </c>
      <c r="C249" s="5" t="s">
        <v>27</v>
      </c>
      <c r="D249" s="6" t="s">
        <v>28</v>
      </c>
      <c r="E249" s="5" t="s">
        <v>29</v>
      </c>
      <c r="F249" s="5" t="s">
        <v>31</v>
      </c>
      <c r="G249" s="7"/>
      <c r="H249" s="5" t="str">
        <f aca="false">IF($G249="","",IF(LOWER(TRIM($G249))=LOWER(TRIM($F249)),"Match","Mismatch"))</f>
        <v/>
      </c>
      <c r="I249" s="5" t="str">
        <f aca="false">IF($G249="","",IF(LOWER(TRIM($G249))=LOWER(TRIM($E249)),"Match","Mismatch"))</f>
        <v/>
      </c>
      <c r="J249" s="6"/>
    </row>
    <row r="250" customFormat="false" ht="35.05" hidden="false" customHeight="false" outlineLevel="0" collapsed="false">
      <c r="A250" s="5" t="s">
        <v>25</v>
      </c>
      <c r="B250" s="5" t="s">
        <v>186</v>
      </c>
      <c r="C250" s="5" t="s">
        <v>27</v>
      </c>
      <c r="D250" s="6" t="s">
        <v>32</v>
      </c>
      <c r="E250" s="5" t="s">
        <v>29</v>
      </c>
      <c r="F250" s="5" t="s">
        <v>31</v>
      </c>
      <c r="G250" s="7"/>
      <c r="H250" s="5" t="str">
        <f aca="false">IF($G250="","",IF(LOWER(TRIM($G250))=LOWER(TRIM($F250)),"Match","Mismatch"))</f>
        <v/>
      </c>
      <c r="I250" s="5" t="str">
        <f aca="false">IF($G250="","",IF(LOWER(TRIM($G250))=LOWER(TRIM($E250)),"Match","Mismatch"))</f>
        <v/>
      </c>
      <c r="J250" s="6"/>
    </row>
    <row r="251" customFormat="false" ht="35.05" hidden="false" customHeight="false" outlineLevel="0" collapsed="false">
      <c r="A251" s="5" t="s">
        <v>25</v>
      </c>
      <c r="B251" s="5" t="s">
        <v>186</v>
      </c>
      <c r="C251" s="5" t="s">
        <v>27</v>
      </c>
      <c r="D251" s="6" t="s">
        <v>33</v>
      </c>
      <c r="E251" s="5" t="s">
        <v>31</v>
      </c>
      <c r="F251" s="5" t="s">
        <v>29</v>
      </c>
      <c r="G251" s="7"/>
      <c r="H251" s="5" t="str">
        <f aca="false">IF($G251="","",IF(LOWER(TRIM($G251))=LOWER(TRIM($F251)),"Match","Mismatch"))</f>
        <v/>
      </c>
      <c r="I251" s="5" t="str">
        <f aca="false">IF($G251="","",IF(LOWER(TRIM($G251))=LOWER(TRIM($E251)),"Match","Mismatch"))</f>
        <v/>
      </c>
      <c r="J251" s="6"/>
    </row>
    <row r="252" customFormat="false" ht="15" hidden="false" customHeight="false" outlineLevel="0" collapsed="false">
      <c r="A252" s="5" t="s">
        <v>25</v>
      </c>
      <c r="B252" s="5" t="s">
        <v>186</v>
      </c>
      <c r="C252" s="5" t="s">
        <v>27</v>
      </c>
      <c r="D252" s="6" t="s">
        <v>35</v>
      </c>
      <c r="E252" s="5" t="s">
        <v>187</v>
      </c>
      <c r="F252" s="5" t="s">
        <v>188</v>
      </c>
      <c r="G252" s="7"/>
      <c r="H252" s="5" t="str">
        <f aca="false">IF($G252="","",IF(LOWER(TRIM($G252))=LOWER(TRIM($F252)),"Match","Mismatch"))</f>
        <v/>
      </c>
      <c r="I252" s="5" t="str">
        <f aca="false">IF($G252="","",IF(LOWER(TRIM($G252))=LOWER(TRIM($E252)),"Match","Mismatch"))</f>
        <v/>
      </c>
      <c r="J252" s="6"/>
    </row>
    <row r="253" customFormat="false" ht="23.85" hidden="false" customHeight="false" outlineLevel="0" collapsed="false">
      <c r="A253" s="5" t="s">
        <v>25</v>
      </c>
      <c r="B253" s="5" t="s">
        <v>186</v>
      </c>
      <c r="C253" s="5" t="s">
        <v>27</v>
      </c>
      <c r="D253" s="6" t="s">
        <v>38</v>
      </c>
      <c r="E253" s="5" t="s">
        <v>29</v>
      </c>
      <c r="F253" s="5" t="s">
        <v>31</v>
      </c>
      <c r="G253" s="7"/>
      <c r="H253" s="5" t="str">
        <f aca="false">IF($G253="","",IF(LOWER(TRIM($G253))=LOWER(TRIM($F253)),"Match","Mismatch"))</f>
        <v/>
      </c>
      <c r="I253" s="5" t="str">
        <f aca="false">IF($G253="","",IF(LOWER(TRIM($G253))=LOWER(TRIM($E253)),"Match","Mismatch"))</f>
        <v/>
      </c>
      <c r="J253" s="6"/>
    </row>
    <row r="254" customFormat="false" ht="15" hidden="false" customHeight="false" outlineLevel="0" collapsed="false">
      <c r="A254" s="5" t="s">
        <v>25</v>
      </c>
      <c r="B254" s="5" t="s">
        <v>186</v>
      </c>
      <c r="C254" s="5" t="s">
        <v>39</v>
      </c>
      <c r="D254" s="6" t="s">
        <v>40</v>
      </c>
      <c r="E254" s="5" t="s">
        <v>189</v>
      </c>
      <c r="F254" s="5" t="s">
        <v>41</v>
      </c>
      <c r="G254" s="7"/>
      <c r="H254" s="5" t="str">
        <f aca="false">IF($G254="","",IF(LOWER(TRIM($G254))=LOWER(TRIM($F254)),"Match","Mismatch"))</f>
        <v/>
      </c>
      <c r="I254" s="5" t="str">
        <f aca="false">IF($G254="","",IF(LOWER(TRIM($G254))=LOWER(TRIM($E254)),"Match","Mismatch"))</f>
        <v/>
      </c>
      <c r="J254" s="6"/>
    </row>
    <row r="255" customFormat="false" ht="23.85" hidden="false" customHeight="false" outlineLevel="0" collapsed="false">
      <c r="A255" s="5" t="s">
        <v>25</v>
      </c>
      <c r="B255" s="5" t="s">
        <v>186</v>
      </c>
      <c r="C255" s="5" t="s">
        <v>39</v>
      </c>
      <c r="D255" s="6" t="s">
        <v>42</v>
      </c>
      <c r="E255" s="5" t="s">
        <v>189</v>
      </c>
      <c r="F255" s="5" t="s">
        <v>43</v>
      </c>
      <c r="G255" s="7"/>
      <c r="H255" s="5" t="str">
        <f aca="false">IF($G255="","",IF(LOWER(TRIM($G255))=LOWER(TRIM($F255)),"Match","Mismatch"))</f>
        <v/>
      </c>
      <c r="I255" s="5" t="str">
        <f aca="false">IF($G255="","",IF(LOWER(TRIM($G255))=LOWER(TRIM($E255)),"Match","Mismatch"))</f>
        <v/>
      </c>
      <c r="J255" s="6"/>
    </row>
    <row r="256" customFormat="false" ht="23.85" hidden="false" customHeight="false" outlineLevel="0" collapsed="false">
      <c r="A256" s="5" t="s">
        <v>25</v>
      </c>
      <c r="B256" s="5" t="s">
        <v>186</v>
      </c>
      <c r="C256" s="5" t="s">
        <v>39</v>
      </c>
      <c r="D256" s="6" t="s">
        <v>44</v>
      </c>
      <c r="E256" s="5" t="s">
        <v>189</v>
      </c>
      <c r="F256" s="5" t="s">
        <v>41</v>
      </c>
      <c r="G256" s="7"/>
      <c r="H256" s="5" t="str">
        <f aca="false">IF($G256="","",IF(LOWER(TRIM($G256))=LOWER(TRIM($F256)),"Match","Mismatch"))</f>
        <v/>
      </c>
      <c r="I256" s="5" t="str">
        <f aca="false">IF($G256="","",IF(LOWER(TRIM($G256))=LOWER(TRIM($E256)),"Match","Mismatch"))</f>
        <v/>
      </c>
      <c r="J256" s="6"/>
    </row>
    <row r="257" customFormat="false" ht="15" hidden="false" customHeight="false" outlineLevel="0" collapsed="false">
      <c r="A257" s="5" t="s">
        <v>25</v>
      </c>
      <c r="B257" s="5" t="s">
        <v>186</v>
      </c>
      <c r="C257" s="5" t="s">
        <v>39</v>
      </c>
      <c r="D257" s="6" t="s">
        <v>45</v>
      </c>
      <c r="E257" s="5" t="s">
        <v>189</v>
      </c>
      <c r="F257" s="5" t="s">
        <v>46</v>
      </c>
      <c r="G257" s="7"/>
      <c r="H257" s="5" t="str">
        <f aca="false">IF($G257="","",IF(LOWER(TRIM($G257))=LOWER(TRIM($F257)),"Match","Mismatch"))</f>
        <v/>
      </c>
      <c r="I257" s="5" t="str">
        <f aca="false">IF($G257="","",IF(LOWER(TRIM($G257))=LOWER(TRIM($E257)),"Match","Mismatch"))</f>
        <v/>
      </c>
      <c r="J257" s="6"/>
    </row>
    <row r="258" customFormat="false" ht="15" hidden="false" customHeight="false" outlineLevel="0" collapsed="false">
      <c r="A258" s="5" t="s">
        <v>25</v>
      </c>
      <c r="B258" s="5" t="s">
        <v>186</v>
      </c>
      <c r="C258" s="5" t="s">
        <v>39</v>
      </c>
      <c r="D258" s="6" t="s">
        <v>47</v>
      </c>
      <c r="E258" s="5" t="s">
        <v>189</v>
      </c>
      <c r="F258" s="5" t="s">
        <v>43</v>
      </c>
      <c r="G258" s="7"/>
      <c r="H258" s="5" t="str">
        <f aca="false">IF($G258="","",IF(LOWER(TRIM($G258))=LOWER(TRIM($F258)),"Match","Mismatch"))</f>
        <v/>
      </c>
      <c r="I258" s="5" t="str">
        <f aca="false">IF($G258="","",IF(LOWER(TRIM($G258))=LOWER(TRIM($E258)),"Match","Mismatch"))</f>
        <v/>
      </c>
      <c r="J258" s="6"/>
    </row>
    <row r="259" customFormat="false" ht="15" hidden="false" customHeight="false" outlineLevel="0" collapsed="false">
      <c r="A259" s="5" t="s">
        <v>25</v>
      </c>
      <c r="B259" s="5" t="s">
        <v>186</v>
      </c>
      <c r="C259" s="5" t="s">
        <v>39</v>
      </c>
      <c r="D259" s="6" t="s">
        <v>48</v>
      </c>
      <c r="E259" s="5" t="s">
        <v>189</v>
      </c>
      <c r="F259" s="5" t="s">
        <v>190</v>
      </c>
      <c r="G259" s="7"/>
      <c r="H259" s="5" t="str">
        <f aca="false">IF($G259="","",IF(LOWER(TRIM($G259))=LOWER(TRIM($F259)),"Match","Mismatch"))</f>
        <v/>
      </c>
      <c r="I259" s="5" t="str">
        <f aca="false">IF($G259="","",IF(LOWER(TRIM($G259))=LOWER(TRIM($E259)),"Match","Mismatch"))</f>
        <v/>
      </c>
      <c r="J259" s="6"/>
    </row>
    <row r="260" customFormat="false" ht="15" hidden="false" customHeight="false" outlineLevel="0" collapsed="false">
      <c r="A260" s="5" t="s">
        <v>25</v>
      </c>
      <c r="B260" s="5" t="s">
        <v>186</v>
      </c>
      <c r="C260" s="5" t="s">
        <v>39</v>
      </c>
      <c r="D260" s="6" t="s">
        <v>49</v>
      </c>
      <c r="E260" s="5" t="s">
        <v>189</v>
      </c>
      <c r="F260" s="5" t="s">
        <v>46</v>
      </c>
      <c r="G260" s="7"/>
      <c r="H260" s="5" t="str">
        <f aca="false">IF($G260="","",IF(LOWER(TRIM($G260))=LOWER(TRIM($F260)),"Match","Mismatch"))</f>
        <v/>
      </c>
      <c r="I260" s="5" t="str">
        <f aca="false">IF($G260="","",IF(LOWER(TRIM($G260))=LOWER(TRIM($E260)),"Match","Mismatch"))</f>
        <v/>
      </c>
      <c r="J260" s="6"/>
    </row>
    <row r="261" customFormat="false" ht="23.85" hidden="false" customHeight="false" outlineLevel="0" collapsed="false">
      <c r="A261" s="5" t="s">
        <v>25</v>
      </c>
      <c r="B261" s="5" t="s">
        <v>186</v>
      </c>
      <c r="C261" s="5" t="s">
        <v>39</v>
      </c>
      <c r="D261" s="6" t="s">
        <v>50</v>
      </c>
      <c r="E261" s="5" t="s">
        <v>189</v>
      </c>
      <c r="F261" s="5" t="s">
        <v>55</v>
      </c>
      <c r="G261" s="7"/>
      <c r="H261" s="5" t="str">
        <f aca="false">IF($G261="","",IF(LOWER(TRIM($G261))=LOWER(TRIM($F261)),"Match","Mismatch"))</f>
        <v/>
      </c>
      <c r="I261" s="5" t="str">
        <f aca="false">IF($G261="","",IF(LOWER(TRIM($G261))=LOWER(TRIM($E261)),"Match","Mismatch"))</f>
        <v/>
      </c>
      <c r="J261" s="6"/>
    </row>
    <row r="262" customFormat="false" ht="15" hidden="false" customHeight="false" outlineLevel="0" collapsed="false">
      <c r="A262" s="5" t="s">
        <v>25</v>
      </c>
      <c r="B262" s="5" t="s">
        <v>186</v>
      </c>
      <c r="C262" s="5" t="s">
        <v>39</v>
      </c>
      <c r="D262" s="6" t="s">
        <v>51</v>
      </c>
      <c r="E262" s="5" t="s">
        <v>189</v>
      </c>
      <c r="F262" s="5" t="s">
        <v>46</v>
      </c>
      <c r="G262" s="7"/>
      <c r="H262" s="5" t="str">
        <f aca="false">IF($G262="","",IF(LOWER(TRIM($G262))=LOWER(TRIM($F262)),"Match","Mismatch"))</f>
        <v/>
      </c>
      <c r="I262" s="5" t="str">
        <f aca="false">IF($G262="","",IF(LOWER(TRIM($G262))=LOWER(TRIM($E262)),"Match","Mismatch"))</f>
        <v/>
      </c>
      <c r="J262" s="6"/>
    </row>
    <row r="263" customFormat="false" ht="15" hidden="false" customHeight="false" outlineLevel="0" collapsed="false">
      <c r="A263" s="5" t="s">
        <v>25</v>
      </c>
      <c r="B263" s="5" t="s">
        <v>186</v>
      </c>
      <c r="C263" s="5" t="s">
        <v>39</v>
      </c>
      <c r="D263" s="6" t="s">
        <v>52</v>
      </c>
      <c r="E263" s="5" t="s">
        <v>189</v>
      </c>
      <c r="F263" s="5" t="s">
        <v>46</v>
      </c>
      <c r="G263" s="7"/>
      <c r="H263" s="5" t="str">
        <f aca="false">IF($G263="","",IF(LOWER(TRIM($G263))=LOWER(TRIM($F263)),"Match","Mismatch"))</f>
        <v/>
      </c>
      <c r="I263" s="5" t="str">
        <f aca="false">IF($G263="","",IF(LOWER(TRIM($G263))=LOWER(TRIM($E263)),"Match","Mismatch"))</f>
        <v/>
      </c>
      <c r="J263" s="6"/>
    </row>
    <row r="264" customFormat="false" ht="15" hidden="false" customHeight="false" outlineLevel="0" collapsed="false">
      <c r="A264" s="5" t="s">
        <v>25</v>
      </c>
      <c r="B264" s="5" t="s">
        <v>186</v>
      </c>
      <c r="C264" s="5" t="s">
        <v>39</v>
      </c>
      <c r="D264" s="6" t="s">
        <v>53</v>
      </c>
      <c r="E264" s="5" t="s">
        <v>189</v>
      </c>
      <c r="F264" s="5" t="s">
        <v>46</v>
      </c>
      <c r="G264" s="7"/>
      <c r="H264" s="5" t="str">
        <f aca="false">IF($G264="","",IF(LOWER(TRIM($G264))=LOWER(TRIM($F264)),"Match","Mismatch"))</f>
        <v/>
      </c>
      <c r="I264" s="5" t="str">
        <f aca="false">IF($G264="","",IF(LOWER(TRIM($G264))=LOWER(TRIM($E264)),"Match","Mismatch"))</f>
        <v/>
      </c>
      <c r="J264" s="6"/>
    </row>
    <row r="265" customFormat="false" ht="15" hidden="false" customHeight="false" outlineLevel="0" collapsed="false">
      <c r="A265" s="5" t="s">
        <v>25</v>
      </c>
      <c r="B265" s="5" t="s">
        <v>186</v>
      </c>
      <c r="C265" s="5" t="s">
        <v>39</v>
      </c>
      <c r="D265" s="6" t="s">
        <v>54</v>
      </c>
      <c r="E265" s="5" t="s">
        <v>189</v>
      </c>
      <c r="F265" s="5" t="s">
        <v>46</v>
      </c>
      <c r="G265" s="7"/>
      <c r="H265" s="5" t="str">
        <f aca="false">IF($G265="","",IF(LOWER(TRIM($G265))=LOWER(TRIM($F265)),"Match","Mismatch"))</f>
        <v/>
      </c>
      <c r="I265" s="5" t="str">
        <f aca="false">IF($G265="","",IF(LOWER(TRIM($G265))=LOWER(TRIM($E265)),"Match","Mismatch"))</f>
        <v/>
      </c>
      <c r="J265" s="6"/>
    </row>
    <row r="266" customFormat="false" ht="23.85" hidden="false" customHeight="false" outlineLevel="0" collapsed="false">
      <c r="A266" s="5" t="s">
        <v>25</v>
      </c>
      <c r="B266" s="5" t="s">
        <v>186</v>
      </c>
      <c r="C266" s="5" t="s">
        <v>39</v>
      </c>
      <c r="D266" s="6" t="s">
        <v>56</v>
      </c>
      <c r="E266" s="5" t="s">
        <v>189</v>
      </c>
      <c r="F266" s="5" t="s">
        <v>41</v>
      </c>
      <c r="G266" s="7"/>
      <c r="H266" s="5" t="str">
        <f aca="false">IF($G266="","",IF(LOWER(TRIM($G266))=LOWER(TRIM($F266)),"Match","Mismatch"))</f>
        <v/>
      </c>
      <c r="I266" s="5" t="str">
        <f aca="false">IF($G266="","",IF(LOWER(TRIM($G266))=LOWER(TRIM($E266)),"Match","Mismatch"))</f>
        <v/>
      </c>
      <c r="J266" s="6"/>
    </row>
    <row r="267" customFormat="false" ht="15" hidden="false" customHeight="false" outlineLevel="0" collapsed="false">
      <c r="A267" s="5" t="s">
        <v>25</v>
      </c>
      <c r="B267" s="5" t="s">
        <v>186</v>
      </c>
      <c r="C267" s="5" t="s">
        <v>39</v>
      </c>
      <c r="D267" s="6" t="s">
        <v>57</v>
      </c>
      <c r="E267" s="5" t="s">
        <v>189</v>
      </c>
      <c r="F267" s="5" t="s">
        <v>55</v>
      </c>
      <c r="G267" s="7"/>
      <c r="H267" s="5" t="str">
        <f aca="false">IF($G267="","",IF(LOWER(TRIM($G267))=LOWER(TRIM($F267)),"Match","Mismatch"))</f>
        <v/>
      </c>
      <c r="I267" s="5" t="str">
        <f aca="false">IF($G267="","",IF(LOWER(TRIM($G267))=LOWER(TRIM($E267)),"Match","Mismatch"))</f>
        <v/>
      </c>
      <c r="J267" s="6"/>
    </row>
    <row r="268" customFormat="false" ht="15" hidden="false" customHeight="false" outlineLevel="0" collapsed="false">
      <c r="A268" s="5" t="s">
        <v>25</v>
      </c>
      <c r="B268" s="5" t="s">
        <v>186</v>
      </c>
      <c r="C268" s="5" t="s">
        <v>39</v>
      </c>
      <c r="D268" s="6" t="s">
        <v>58</v>
      </c>
      <c r="E268" s="5" t="s">
        <v>189</v>
      </c>
      <c r="F268" s="5" t="s">
        <v>55</v>
      </c>
      <c r="G268" s="7"/>
      <c r="H268" s="5" t="str">
        <f aca="false">IF($G268="","",IF(LOWER(TRIM($G268))=LOWER(TRIM($F268)),"Match","Mismatch"))</f>
        <v/>
      </c>
      <c r="I268" s="5" t="str">
        <f aca="false">IF($G268="","",IF(LOWER(TRIM($G268))=LOWER(TRIM($E268)),"Match","Mismatch"))</f>
        <v/>
      </c>
      <c r="J268" s="6"/>
    </row>
    <row r="269" customFormat="false" ht="23.85" hidden="false" customHeight="false" outlineLevel="0" collapsed="false">
      <c r="A269" s="5" t="s">
        <v>25</v>
      </c>
      <c r="B269" s="5" t="s">
        <v>186</v>
      </c>
      <c r="C269" s="5" t="s">
        <v>59</v>
      </c>
      <c r="D269" s="6" t="s">
        <v>61</v>
      </c>
      <c r="E269" s="5" t="s">
        <v>29</v>
      </c>
      <c r="F269" s="5" t="s">
        <v>31</v>
      </c>
      <c r="G269" s="7"/>
      <c r="H269" s="5" t="str">
        <f aca="false">IF($G269="","",IF(LOWER(TRIM($G269))=LOWER(TRIM($F269)),"Match","Mismatch"))</f>
        <v/>
      </c>
      <c r="I269" s="5" t="str">
        <f aca="false">IF($G269="","",IF(LOWER(TRIM($G269))=LOWER(TRIM($E269)),"Match","Mismatch"))</f>
        <v/>
      </c>
      <c r="J269" s="6"/>
    </row>
    <row r="270" customFormat="false" ht="15" hidden="false" customHeight="false" outlineLevel="0" collapsed="false">
      <c r="A270" s="5" t="s">
        <v>25</v>
      </c>
      <c r="B270" s="5" t="s">
        <v>186</v>
      </c>
      <c r="C270" s="5" t="s">
        <v>59</v>
      </c>
      <c r="D270" s="6" t="s">
        <v>62</v>
      </c>
      <c r="E270" s="5" t="s">
        <v>29</v>
      </c>
      <c r="F270" s="5" t="s">
        <v>31</v>
      </c>
      <c r="G270" s="7"/>
      <c r="H270" s="5" t="str">
        <f aca="false">IF($G270="","",IF(LOWER(TRIM($G270))=LOWER(TRIM($F270)),"Match","Mismatch"))</f>
        <v/>
      </c>
      <c r="I270" s="5" t="str">
        <f aca="false">IF($G270="","",IF(LOWER(TRIM($G270))=LOWER(TRIM($E270)),"Match","Mismatch"))</f>
        <v/>
      </c>
      <c r="J270" s="6"/>
    </row>
    <row r="271" customFormat="false" ht="15" hidden="false" customHeight="false" outlineLevel="0" collapsed="false">
      <c r="A271" s="5" t="s">
        <v>25</v>
      </c>
      <c r="B271" s="5" t="s">
        <v>186</v>
      </c>
      <c r="C271" s="5" t="s">
        <v>59</v>
      </c>
      <c r="D271" s="6" t="s">
        <v>63</v>
      </c>
      <c r="E271" s="5" t="s">
        <v>191</v>
      </c>
      <c r="F271" s="5" t="s">
        <v>188</v>
      </c>
      <c r="G271" s="7"/>
      <c r="H271" s="5" t="str">
        <f aca="false">IF($G271="","",IF(LOWER(TRIM($G271))=LOWER(TRIM($F271)),"Match","Mismatch"))</f>
        <v/>
      </c>
      <c r="I271" s="5" t="str">
        <f aca="false">IF($G271="","",IF(LOWER(TRIM($G271))=LOWER(TRIM($E271)),"Match","Mismatch"))</f>
        <v/>
      </c>
      <c r="J271" s="6"/>
    </row>
    <row r="272" customFormat="false" ht="23.85" hidden="false" customHeight="false" outlineLevel="0" collapsed="false">
      <c r="A272" s="5" t="s">
        <v>25</v>
      </c>
      <c r="B272" s="5" t="s">
        <v>186</v>
      </c>
      <c r="C272" s="5" t="s">
        <v>59</v>
      </c>
      <c r="D272" s="6" t="s">
        <v>65</v>
      </c>
      <c r="E272" s="5" t="s">
        <v>29</v>
      </c>
      <c r="F272" s="5" t="s">
        <v>31</v>
      </c>
      <c r="G272" s="7"/>
      <c r="H272" s="5" t="str">
        <f aca="false">IF($G272="","",IF(LOWER(TRIM($G272))=LOWER(TRIM($F272)),"Match","Mismatch"))</f>
        <v/>
      </c>
      <c r="I272" s="5" t="str">
        <f aca="false">IF($G272="","",IF(LOWER(TRIM($G272))=LOWER(TRIM($E272)),"Match","Mismatch"))</f>
        <v/>
      </c>
      <c r="J272" s="6"/>
    </row>
    <row r="273" customFormat="false" ht="23.85" hidden="false" customHeight="false" outlineLevel="0" collapsed="false">
      <c r="A273" s="5" t="s">
        <v>25</v>
      </c>
      <c r="B273" s="5" t="s">
        <v>186</v>
      </c>
      <c r="C273" s="5" t="s">
        <v>59</v>
      </c>
      <c r="D273" s="6" t="s">
        <v>66</v>
      </c>
      <c r="E273" s="5" t="s">
        <v>29</v>
      </c>
      <c r="F273" s="5" t="s">
        <v>31</v>
      </c>
      <c r="G273" s="7"/>
      <c r="H273" s="5" t="str">
        <f aca="false">IF($G273="","",IF(LOWER(TRIM($G273))=LOWER(TRIM($F273)),"Match","Mismatch"))</f>
        <v/>
      </c>
      <c r="I273" s="5" t="str">
        <f aca="false">IF($G273="","",IF(LOWER(TRIM($G273))=LOWER(TRIM($E273)),"Match","Mismatch"))</f>
        <v/>
      </c>
      <c r="J273" s="6"/>
    </row>
    <row r="274" customFormat="false" ht="15" hidden="false" customHeight="false" outlineLevel="0" collapsed="false">
      <c r="A274" s="5" t="s">
        <v>25</v>
      </c>
      <c r="B274" s="5" t="s">
        <v>186</v>
      </c>
      <c r="C274" s="5" t="s">
        <v>70</v>
      </c>
      <c r="D274" s="6" t="s">
        <v>71</v>
      </c>
      <c r="E274" s="5" t="s">
        <v>192</v>
      </c>
      <c r="F274" s="5" t="s">
        <v>193</v>
      </c>
      <c r="G274" s="7"/>
      <c r="H274" s="5" t="str">
        <f aca="false">IF($G274="","",IF(LOWER(TRIM($G274))=LOWER(TRIM($F274)),"Match","Mismatch"))</f>
        <v/>
      </c>
      <c r="I274" s="5" t="str">
        <f aca="false">IF($G274="","",IF(LOWER(TRIM($G274))=LOWER(TRIM($E274)),"Match","Mismatch"))</f>
        <v/>
      </c>
      <c r="J274" s="6"/>
    </row>
    <row r="275" customFormat="false" ht="15" hidden="false" customHeight="false" outlineLevel="0" collapsed="false">
      <c r="A275" s="5" t="s">
        <v>25</v>
      </c>
      <c r="B275" s="5" t="s">
        <v>186</v>
      </c>
      <c r="C275" s="5" t="s">
        <v>70</v>
      </c>
      <c r="D275" s="6" t="s">
        <v>73</v>
      </c>
      <c r="E275" s="5" t="s">
        <v>192</v>
      </c>
      <c r="F275" s="5" t="s">
        <v>194</v>
      </c>
      <c r="G275" s="7"/>
      <c r="H275" s="5" t="str">
        <f aca="false">IF($G275="","",IF(LOWER(TRIM($G275))=LOWER(TRIM($F275)),"Match","Mismatch"))</f>
        <v/>
      </c>
      <c r="I275" s="5" t="str">
        <f aca="false">IF($G275="","",IF(LOWER(TRIM($G275))=LOWER(TRIM($E275)),"Match","Mismatch"))</f>
        <v/>
      </c>
      <c r="J275" s="6"/>
    </row>
    <row r="276" customFormat="false" ht="15" hidden="false" customHeight="false" outlineLevel="0" collapsed="false">
      <c r="A276" s="5" t="s">
        <v>25</v>
      </c>
      <c r="B276" s="5" t="s">
        <v>186</v>
      </c>
      <c r="C276" s="5" t="s">
        <v>70</v>
      </c>
      <c r="D276" s="6" t="s">
        <v>75</v>
      </c>
      <c r="E276" s="5" t="s">
        <v>192</v>
      </c>
      <c r="F276" s="5" t="s">
        <v>195</v>
      </c>
      <c r="G276" s="7"/>
      <c r="H276" s="5" t="str">
        <f aca="false">IF($G276="","",IF(LOWER(TRIM($G276))=LOWER(TRIM($F276)),"Match","Mismatch"))</f>
        <v/>
      </c>
      <c r="I276" s="5" t="str">
        <f aca="false">IF($G276="","",IF(LOWER(TRIM($G276))=LOWER(TRIM($E276)),"Match","Mismatch"))</f>
        <v/>
      </c>
      <c r="J276" s="6"/>
    </row>
    <row r="277" customFormat="false" ht="15" hidden="false" customHeight="false" outlineLevel="0" collapsed="false">
      <c r="A277" s="5" t="s">
        <v>25</v>
      </c>
      <c r="B277" s="5" t="s">
        <v>186</v>
      </c>
      <c r="C277" s="5" t="s">
        <v>70</v>
      </c>
      <c r="D277" s="6" t="s">
        <v>77</v>
      </c>
      <c r="E277" s="5" t="s">
        <v>192</v>
      </c>
      <c r="F277" s="5" t="s">
        <v>196</v>
      </c>
      <c r="G277" s="7"/>
      <c r="H277" s="5" t="str">
        <f aca="false">IF($G277="","",IF(LOWER(TRIM($G277))=LOWER(TRIM($F277)),"Match","Mismatch"))</f>
        <v/>
      </c>
      <c r="I277" s="5" t="str">
        <f aca="false">IF($G277="","",IF(LOWER(TRIM($G277))=LOWER(TRIM($E277)),"Match","Mismatch"))</f>
        <v/>
      </c>
      <c r="J277" s="6"/>
    </row>
    <row r="278" customFormat="false" ht="15" hidden="false" customHeight="false" outlineLevel="0" collapsed="false">
      <c r="A278" s="5" t="s">
        <v>25</v>
      </c>
      <c r="B278" s="5" t="s">
        <v>186</v>
      </c>
      <c r="C278" s="5" t="s">
        <v>70</v>
      </c>
      <c r="D278" s="6" t="s">
        <v>80</v>
      </c>
      <c r="E278" s="5"/>
      <c r="F278" s="5" t="s">
        <v>197</v>
      </c>
      <c r="G278" s="7"/>
      <c r="H278" s="5" t="str">
        <f aca="false">IF($G278="","",IF(LOWER(TRIM($G278))=LOWER(TRIM($F278)),"Match","Mismatch"))</f>
        <v/>
      </c>
      <c r="I278" s="5" t="str">
        <f aca="false">IF($G278="","",IF(LOWER(TRIM($G278))=LOWER(TRIM($E278)),"Match","Mismatch"))</f>
        <v/>
      </c>
      <c r="J278" s="6"/>
    </row>
    <row r="279" customFormat="false" ht="15" hidden="false" customHeight="false" outlineLevel="0" collapsed="false">
      <c r="A279" s="5" t="s">
        <v>25</v>
      </c>
      <c r="B279" s="5" t="s">
        <v>186</v>
      </c>
      <c r="C279" s="5" t="s">
        <v>70</v>
      </c>
      <c r="D279" s="6" t="s">
        <v>82</v>
      </c>
      <c r="E279" s="5" t="s">
        <v>192</v>
      </c>
      <c r="F279" s="5" t="s">
        <v>198</v>
      </c>
      <c r="G279" s="7"/>
      <c r="H279" s="5" t="str">
        <f aca="false">IF($G279="","",IF(LOWER(TRIM($G279))=LOWER(TRIM($F279)),"Match","Mismatch"))</f>
        <v/>
      </c>
      <c r="I279" s="5" t="str">
        <f aca="false">IF($G279="","",IF(LOWER(TRIM($G279))=LOWER(TRIM($E279)),"Match","Mismatch"))</f>
        <v/>
      </c>
      <c r="J279" s="6"/>
    </row>
    <row r="280" customFormat="false" ht="15" hidden="false" customHeight="false" outlineLevel="0" collapsed="false">
      <c r="A280" s="5" t="s">
        <v>25</v>
      </c>
      <c r="B280" s="5" t="s">
        <v>186</v>
      </c>
      <c r="C280" s="5" t="s">
        <v>70</v>
      </c>
      <c r="D280" s="6" t="s">
        <v>84</v>
      </c>
      <c r="E280" s="5" t="s">
        <v>192</v>
      </c>
      <c r="F280" s="5" t="s">
        <v>199</v>
      </c>
      <c r="G280" s="7"/>
      <c r="H280" s="5" t="str">
        <f aca="false">IF($G280="","",IF(LOWER(TRIM($G280))=LOWER(TRIM($F280)),"Match","Mismatch"))</f>
        <v/>
      </c>
      <c r="I280" s="5" t="str">
        <f aca="false">IF($G280="","",IF(LOWER(TRIM($G280))=LOWER(TRIM($E280)),"Match","Mismatch"))</f>
        <v/>
      </c>
      <c r="J280" s="6"/>
    </row>
    <row r="281" customFormat="false" ht="15" hidden="false" customHeight="false" outlineLevel="0" collapsed="false">
      <c r="A281" s="5" t="s">
        <v>25</v>
      </c>
      <c r="B281" s="5" t="s">
        <v>186</v>
      </c>
      <c r="C281" s="5" t="s">
        <v>70</v>
      </c>
      <c r="D281" s="6" t="s">
        <v>86</v>
      </c>
      <c r="E281" s="5" t="s">
        <v>192</v>
      </c>
      <c r="F281" s="5" t="s">
        <v>200</v>
      </c>
      <c r="G281" s="7"/>
      <c r="H281" s="5" t="str">
        <f aca="false">IF($G281="","",IF(LOWER(TRIM($G281))=LOWER(TRIM($F281)),"Match","Mismatch"))</f>
        <v/>
      </c>
      <c r="I281" s="5" t="str">
        <f aca="false">IF($G281="","",IF(LOWER(TRIM($G281))=LOWER(TRIM($E281)),"Match","Mismatch"))</f>
        <v/>
      </c>
      <c r="J281" s="6"/>
    </row>
    <row r="282" customFormat="false" ht="35.05" hidden="false" customHeight="false" outlineLevel="0" collapsed="false">
      <c r="A282" s="5" t="s">
        <v>25</v>
      </c>
      <c r="B282" s="5" t="s">
        <v>201</v>
      </c>
      <c r="C282" s="5" t="s">
        <v>27</v>
      </c>
      <c r="D282" s="6" t="s">
        <v>32</v>
      </c>
      <c r="E282" s="5" t="s">
        <v>29</v>
      </c>
      <c r="F282" s="5" t="s">
        <v>31</v>
      </c>
      <c r="G282" s="7"/>
      <c r="H282" s="5" t="str">
        <f aca="false">IF($G282="","",IF(LOWER(TRIM($G282))=LOWER(TRIM($F282)),"Match","Mismatch"))</f>
        <v/>
      </c>
      <c r="I282" s="5" t="str">
        <f aca="false">IF($G282="","",IF(LOWER(TRIM($G282))=LOWER(TRIM($E282)),"Match","Mismatch"))</f>
        <v/>
      </c>
      <c r="J282" s="6"/>
    </row>
    <row r="283" customFormat="false" ht="15" hidden="false" customHeight="false" outlineLevel="0" collapsed="false">
      <c r="A283" s="5" t="s">
        <v>25</v>
      </c>
      <c r="B283" s="5" t="s">
        <v>201</v>
      </c>
      <c r="C283" s="5" t="s">
        <v>27</v>
      </c>
      <c r="D283" s="6" t="s">
        <v>35</v>
      </c>
      <c r="E283" s="5" t="s">
        <v>202</v>
      </c>
      <c r="F283" s="5" t="s">
        <v>203</v>
      </c>
      <c r="G283" s="7"/>
      <c r="H283" s="5" t="str">
        <f aca="false">IF($G283="","",IF(LOWER(TRIM($G283))=LOWER(TRIM($F283)),"Match","Mismatch"))</f>
        <v/>
      </c>
      <c r="I283" s="5" t="str">
        <f aca="false">IF($G283="","",IF(LOWER(TRIM($G283))=LOWER(TRIM($E283)),"Match","Mismatch"))</f>
        <v/>
      </c>
      <c r="J283" s="6"/>
    </row>
    <row r="284" customFormat="false" ht="23.85" hidden="false" customHeight="false" outlineLevel="0" collapsed="false">
      <c r="A284" s="5" t="s">
        <v>25</v>
      </c>
      <c r="B284" s="5" t="s">
        <v>201</v>
      </c>
      <c r="C284" s="5" t="s">
        <v>27</v>
      </c>
      <c r="D284" s="6" t="s">
        <v>38</v>
      </c>
      <c r="E284" s="5" t="s">
        <v>29</v>
      </c>
      <c r="F284" s="5" t="s">
        <v>31</v>
      </c>
      <c r="G284" s="7"/>
      <c r="H284" s="5" t="str">
        <f aca="false">IF($G284="","",IF(LOWER(TRIM($G284))=LOWER(TRIM($F284)),"Match","Mismatch"))</f>
        <v/>
      </c>
      <c r="I284" s="5" t="str">
        <f aca="false">IF($G284="","",IF(LOWER(TRIM($G284))=LOWER(TRIM($E284)),"Match","Mismatch"))</f>
        <v/>
      </c>
      <c r="J284" s="6"/>
    </row>
    <row r="285" customFormat="false" ht="15" hidden="false" customHeight="false" outlineLevel="0" collapsed="false">
      <c r="A285" s="5" t="s">
        <v>25</v>
      </c>
      <c r="B285" s="5" t="s">
        <v>201</v>
      </c>
      <c r="C285" s="5" t="s">
        <v>39</v>
      </c>
      <c r="D285" s="6" t="s">
        <v>40</v>
      </c>
      <c r="E285" s="5"/>
      <c r="F285" s="5" t="s">
        <v>55</v>
      </c>
      <c r="G285" s="7"/>
      <c r="H285" s="5" t="str">
        <f aca="false">IF($G285="","",IF(LOWER(TRIM($G285))=LOWER(TRIM($F285)),"Match","Mismatch"))</f>
        <v/>
      </c>
      <c r="I285" s="5" t="str">
        <f aca="false">IF($G285="","",IF(LOWER(TRIM($G285))=LOWER(TRIM($E285)),"Match","Mismatch"))</f>
        <v/>
      </c>
      <c r="J285" s="6"/>
    </row>
    <row r="286" customFormat="false" ht="23.85" hidden="false" customHeight="false" outlineLevel="0" collapsed="false">
      <c r="A286" s="5" t="s">
        <v>25</v>
      </c>
      <c r="B286" s="5" t="s">
        <v>201</v>
      </c>
      <c r="C286" s="5" t="s">
        <v>39</v>
      </c>
      <c r="D286" s="6" t="s">
        <v>42</v>
      </c>
      <c r="E286" s="5"/>
      <c r="F286" s="5" t="s">
        <v>43</v>
      </c>
      <c r="G286" s="7"/>
      <c r="H286" s="5" t="str">
        <f aca="false">IF($G286="","",IF(LOWER(TRIM($G286))=LOWER(TRIM($F286)),"Match","Mismatch"))</f>
        <v/>
      </c>
      <c r="I286" s="5" t="str">
        <f aca="false">IF($G286="","",IF(LOWER(TRIM($G286))=LOWER(TRIM($E286)),"Match","Mismatch"))</f>
        <v/>
      </c>
      <c r="J286" s="6"/>
    </row>
    <row r="287" customFormat="false" ht="23.85" hidden="false" customHeight="false" outlineLevel="0" collapsed="false">
      <c r="A287" s="5" t="s">
        <v>25</v>
      </c>
      <c r="B287" s="5" t="s">
        <v>201</v>
      </c>
      <c r="C287" s="5" t="s">
        <v>39</v>
      </c>
      <c r="D287" s="6" t="s">
        <v>44</v>
      </c>
      <c r="E287" s="5"/>
      <c r="F287" s="5" t="s">
        <v>55</v>
      </c>
      <c r="G287" s="7"/>
      <c r="H287" s="5" t="str">
        <f aca="false">IF($G287="","",IF(LOWER(TRIM($G287))=LOWER(TRIM($F287)),"Match","Mismatch"))</f>
        <v/>
      </c>
      <c r="I287" s="5" t="str">
        <f aca="false">IF($G287="","",IF(LOWER(TRIM($G287))=LOWER(TRIM($E287)),"Match","Mismatch"))</f>
        <v/>
      </c>
      <c r="J287" s="6"/>
    </row>
    <row r="288" customFormat="false" ht="15" hidden="false" customHeight="false" outlineLevel="0" collapsed="false">
      <c r="A288" s="5" t="s">
        <v>25</v>
      </c>
      <c r="B288" s="5" t="s">
        <v>201</v>
      </c>
      <c r="C288" s="5" t="s">
        <v>39</v>
      </c>
      <c r="D288" s="6" t="s">
        <v>45</v>
      </c>
      <c r="E288" s="5"/>
      <c r="F288" s="5" t="s">
        <v>46</v>
      </c>
      <c r="G288" s="7"/>
      <c r="H288" s="5" t="str">
        <f aca="false">IF($G288="","",IF(LOWER(TRIM($G288))=LOWER(TRIM($F288)),"Match","Mismatch"))</f>
        <v/>
      </c>
      <c r="I288" s="5" t="str">
        <f aca="false">IF($G288="","",IF(LOWER(TRIM($G288))=LOWER(TRIM($E288)),"Match","Mismatch"))</f>
        <v/>
      </c>
      <c r="J288" s="6"/>
    </row>
    <row r="289" customFormat="false" ht="15" hidden="false" customHeight="false" outlineLevel="0" collapsed="false">
      <c r="A289" s="5" t="s">
        <v>25</v>
      </c>
      <c r="B289" s="5" t="s">
        <v>201</v>
      </c>
      <c r="C289" s="5" t="s">
        <v>39</v>
      </c>
      <c r="D289" s="6" t="s">
        <v>47</v>
      </c>
      <c r="E289" s="5"/>
      <c r="F289" s="5" t="s">
        <v>43</v>
      </c>
      <c r="G289" s="7"/>
      <c r="H289" s="5" t="str">
        <f aca="false">IF($G289="","",IF(LOWER(TRIM($G289))=LOWER(TRIM($F289)),"Match","Mismatch"))</f>
        <v/>
      </c>
      <c r="I289" s="5" t="str">
        <f aca="false">IF($G289="","",IF(LOWER(TRIM($G289))=LOWER(TRIM($E289)),"Match","Mismatch"))</f>
        <v/>
      </c>
      <c r="J289" s="6"/>
    </row>
    <row r="290" customFormat="false" ht="15" hidden="false" customHeight="false" outlineLevel="0" collapsed="false">
      <c r="A290" s="5" t="s">
        <v>25</v>
      </c>
      <c r="B290" s="5" t="s">
        <v>201</v>
      </c>
      <c r="C290" s="5" t="s">
        <v>39</v>
      </c>
      <c r="D290" s="6" t="s">
        <v>48</v>
      </c>
      <c r="E290" s="5"/>
      <c r="F290" s="5" t="s">
        <v>46</v>
      </c>
      <c r="G290" s="7"/>
      <c r="H290" s="5" t="str">
        <f aca="false">IF($G290="","",IF(LOWER(TRIM($G290))=LOWER(TRIM($F290)),"Match","Mismatch"))</f>
        <v/>
      </c>
      <c r="I290" s="5" t="str">
        <f aca="false">IF($G290="","",IF(LOWER(TRIM($G290))=LOWER(TRIM($E290)),"Match","Mismatch"))</f>
        <v/>
      </c>
      <c r="J290" s="6"/>
    </row>
    <row r="291" customFormat="false" ht="15" hidden="false" customHeight="false" outlineLevel="0" collapsed="false">
      <c r="A291" s="5" t="s">
        <v>25</v>
      </c>
      <c r="B291" s="5" t="s">
        <v>201</v>
      </c>
      <c r="C291" s="5" t="s">
        <v>39</v>
      </c>
      <c r="D291" s="6" t="s">
        <v>49</v>
      </c>
      <c r="E291" s="5"/>
      <c r="F291" s="5" t="s">
        <v>46</v>
      </c>
      <c r="G291" s="7"/>
      <c r="H291" s="5" t="str">
        <f aca="false">IF($G291="","",IF(LOWER(TRIM($G291))=LOWER(TRIM($F291)),"Match","Mismatch"))</f>
        <v/>
      </c>
      <c r="I291" s="5" t="str">
        <f aca="false">IF($G291="","",IF(LOWER(TRIM($G291))=LOWER(TRIM($E291)),"Match","Mismatch"))</f>
        <v/>
      </c>
      <c r="J291" s="6"/>
    </row>
    <row r="292" customFormat="false" ht="23.85" hidden="false" customHeight="false" outlineLevel="0" collapsed="false">
      <c r="A292" s="5" t="s">
        <v>25</v>
      </c>
      <c r="B292" s="5" t="s">
        <v>201</v>
      </c>
      <c r="C292" s="5" t="s">
        <v>39</v>
      </c>
      <c r="D292" s="6" t="s">
        <v>50</v>
      </c>
      <c r="E292" s="5"/>
      <c r="F292" s="5" t="s">
        <v>43</v>
      </c>
      <c r="G292" s="7"/>
      <c r="H292" s="5" t="str">
        <f aca="false">IF($G292="","",IF(LOWER(TRIM($G292))=LOWER(TRIM($F292)),"Match","Mismatch"))</f>
        <v/>
      </c>
      <c r="I292" s="5" t="str">
        <f aca="false">IF($G292="","",IF(LOWER(TRIM($G292))=LOWER(TRIM($E292)),"Match","Mismatch"))</f>
        <v/>
      </c>
      <c r="J292" s="6"/>
    </row>
    <row r="293" customFormat="false" ht="15" hidden="false" customHeight="false" outlineLevel="0" collapsed="false">
      <c r="A293" s="5" t="s">
        <v>25</v>
      </c>
      <c r="B293" s="5" t="s">
        <v>201</v>
      </c>
      <c r="C293" s="5" t="s">
        <v>39</v>
      </c>
      <c r="D293" s="6" t="s">
        <v>51</v>
      </c>
      <c r="E293" s="5"/>
      <c r="F293" s="5" t="s">
        <v>41</v>
      </c>
      <c r="G293" s="7"/>
      <c r="H293" s="5" t="str">
        <f aca="false">IF($G293="","",IF(LOWER(TRIM($G293))=LOWER(TRIM($F293)),"Match","Mismatch"))</f>
        <v/>
      </c>
      <c r="I293" s="5" t="str">
        <f aca="false">IF($G293="","",IF(LOWER(TRIM($G293))=LOWER(TRIM($E293)),"Match","Mismatch"))</f>
        <v/>
      </c>
      <c r="J293" s="6"/>
    </row>
    <row r="294" customFormat="false" ht="15" hidden="false" customHeight="false" outlineLevel="0" collapsed="false">
      <c r="A294" s="5" t="s">
        <v>25</v>
      </c>
      <c r="B294" s="5" t="s">
        <v>201</v>
      </c>
      <c r="C294" s="5" t="s">
        <v>39</v>
      </c>
      <c r="D294" s="6" t="s">
        <v>52</v>
      </c>
      <c r="E294" s="5"/>
      <c r="F294" s="5" t="s">
        <v>46</v>
      </c>
      <c r="G294" s="7"/>
      <c r="H294" s="5" t="str">
        <f aca="false">IF($G294="","",IF(LOWER(TRIM($G294))=LOWER(TRIM($F294)),"Match","Mismatch"))</f>
        <v/>
      </c>
      <c r="I294" s="5" t="str">
        <f aca="false">IF($G294="","",IF(LOWER(TRIM($G294))=LOWER(TRIM($E294)),"Match","Mismatch"))</f>
        <v/>
      </c>
      <c r="J294" s="6"/>
    </row>
    <row r="295" customFormat="false" ht="15" hidden="false" customHeight="false" outlineLevel="0" collapsed="false">
      <c r="A295" s="5" t="s">
        <v>25</v>
      </c>
      <c r="B295" s="5" t="s">
        <v>201</v>
      </c>
      <c r="C295" s="5" t="s">
        <v>39</v>
      </c>
      <c r="D295" s="6" t="s">
        <v>53</v>
      </c>
      <c r="E295" s="5"/>
      <c r="F295" s="5" t="s">
        <v>46</v>
      </c>
      <c r="G295" s="7"/>
      <c r="H295" s="5" t="str">
        <f aca="false">IF($G295="","",IF(LOWER(TRIM($G295))=LOWER(TRIM($F295)),"Match","Mismatch"))</f>
        <v/>
      </c>
      <c r="I295" s="5" t="str">
        <f aca="false">IF($G295="","",IF(LOWER(TRIM($G295))=LOWER(TRIM($E295)),"Match","Mismatch"))</f>
        <v/>
      </c>
      <c r="J295" s="6"/>
    </row>
    <row r="296" customFormat="false" ht="15" hidden="false" customHeight="false" outlineLevel="0" collapsed="false">
      <c r="A296" s="5" t="s">
        <v>25</v>
      </c>
      <c r="B296" s="5" t="s">
        <v>201</v>
      </c>
      <c r="C296" s="5" t="s">
        <v>39</v>
      </c>
      <c r="D296" s="6" t="s">
        <v>54</v>
      </c>
      <c r="E296" s="5"/>
      <c r="F296" s="5" t="s">
        <v>41</v>
      </c>
      <c r="G296" s="7"/>
      <c r="H296" s="5" t="str">
        <f aca="false">IF($G296="","",IF(LOWER(TRIM($G296))=LOWER(TRIM($F296)),"Match","Mismatch"))</f>
        <v/>
      </c>
      <c r="I296" s="5" t="str">
        <f aca="false">IF($G296="","",IF(LOWER(TRIM($G296))=LOWER(TRIM($E296)),"Match","Mismatch"))</f>
        <v/>
      </c>
      <c r="J296" s="6"/>
    </row>
    <row r="297" customFormat="false" ht="23.85" hidden="false" customHeight="false" outlineLevel="0" collapsed="false">
      <c r="A297" s="5" t="s">
        <v>25</v>
      </c>
      <c r="B297" s="5" t="s">
        <v>201</v>
      </c>
      <c r="C297" s="5" t="s">
        <v>39</v>
      </c>
      <c r="D297" s="6" t="s">
        <v>56</v>
      </c>
      <c r="E297" s="5"/>
      <c r="F297" s="5" t="s">
        <v>55</v>
      </c>
      <c r="G297" s="7"/>
      <c r="H297" s="5" t="str">
        <f aca="false">IF($G297="","",IF(LOWER(TRIM($G297))=LOWER(TRIM($F297)),"Match","Mismatch"))</f>
        <v/>
      </c>
      <c r="I297" s="5" t="str">
        <f aca="false">IF($G297="","",IF(LOWER(TRIM($G297))=LOWER(TRIM($E297)),"Match","Mismatch"))</f>
        <v/>
      </c>
      <c r="J297" s="6"/>
    </row>
    <row r="298" customFormat="false" ht="15" hidden="false" customHeight="false" outlineLevel="0" collapsed="false">
      <c r="A298" s="5" t="s">
        <v>25</v>
      </c>
      <c r="B298" s="5" t="s">
        <v>201</v>
      </c>
      <c r="C298" s="5" t="s">
        <v>39</v>
      </c>
      <c r="D298" s="6" t="s">
        <v>57</v>
      </c>
      <c r="E298" s="5"/>
      <c r="F298" s="5" t="s">
        <v>55</v>
      </c>
      <c r="G298" s="7"/>
      <c r="H298" s="5" t="str">
        <f aca="false">IF($G298="","",IF(LOWER(TRIM($G298))=LOWER(TRIM($F298)),"Match","Mismatch"))</f>
        <v/>
      </c>
      <c r="I298" s="5" t="str">
        <f aca="false">IF($G298="","",IF(LOWER(TRIM($G298))=LOWER(TRIM($E298)),"Match","Mismatch"))</f>
        <v/>
      </c>
      <c r="J298" s="6"/>
    </row>
    <row r="299" customFormat="false" ht="15" hidden="false" customHeight="false" outlineLevel="0" collapsed="false">
      <c r="A299" s="5" t="s">
        <v>25</v>
      </c>
      <c r="B299" s="5" t="s">
        <v>201</v>
      </c>
      <c r="C299" s="5" t="s">
        <v>39</v>
      </c>
      <c r="D299" s="6" t="s">
        <v>58</v>
      </c>
      <c r="E299" s="5"/>
      <c r="F299" s="5" t="s">
        <v>55</v>
      </c>
      <c r="G299" s="7"/>
      <c r="H299" s="5" t="str">
        <f aca="false">IF($G299="","",IF(LOWER(TRIM($G299))=LOWER(TRIM($F299)),"Match","Mismatch"))</f>
        <v/>
      </c>
      <c r="I299" s="5" t="str">
        <f aca="false">IF($G299="","",IF(LOWER(TRIM($G299))=LOWER(TRIM($E299)),"Match","Mismatch"))</f>
        <v/>
      </c>
      <c r="J299" s="6"/>
    </row>
    <row r="300" customFormat="false" ht="15" hidden="false" customHeight="false" outlineLevel="0" collapsed="false">
      <c r="A300" s="5" t="s">
        <v>25</v>
      </c>
      <c r="B300" s="5" t="s">
        <v>201</v>
      </c>
      <c r="C300" s="5" t="s">
        <v>59</v>
      </c>
      <c r="D300" s="6" t="s">
        <v>60</v>
      </c>
      <c r="E300" s="5" t="s">
        <v>29</v>
      </c>
      <c r="F300" s="5" t="s">
        <v>31</v>
      </c>
      <c r="G300" s="7"/>
      <c r="H300" s="5" t="str">
        <f aca="false">IF($G300="","",IF(LOWER(TRIM($G300))=LOWER(TRIM($F300)),"Match","Mismatch"))</f>
        <v/>
      </c>
      <c r="I300" s="5" t="str">
        <f aca="false">IF($G300="","",IF(LOWER(TRIM($G300))=LOWER(TRIM($E300)),"Match","Mismatch"))</f>
        <v/>
      </c>
      <c r="J300" s="6"/>
    </row>
    <row r="301" customFormat="false" ht="23.85" hidden="false" customHeight="false" outlineLevel="0" collapsed="false">
      <c r="A301" s="5" t="s">
        <v>25</v>
      </c>
      <c r="B301" s="5" t="s">
        <v>201</v>
      </c>
      <c r="C301" s="5" t="s">
        <v>59</v>
      </c>
      <c r="D301" s="6" t="s">
        <v>61</v>
      </c>
      <c r="E301" s="5" t="s">
        <v>29</v>
      </c>
      <c r="F301" s="5" t="s">
        <v>31</v>
      </c>
      <c r="G301" s="7"/>
      <c r="H301" s="5" t="str">
        <f aca="false">IF($G301="","",IF(LOWER(TRIM($G301))=LOWER(TRIM($F301)),"Match","Mismatch"))</f>
        <v/>
      </c>
      <c r="I301" s="5" t="str">
        <f aca="false">IF($G301="","",IF(LOWER(TRIM($G301))=LOWER(TRIM($E301)),"Match","Mismatch"))</f>
        <v/>
      </c>
      <c r="J301" s="6"/>
    </row>
    <row r="302" customFormat="false" ht="15" hidden="false" customHeight="false" outlineLevel="0" collapsed="false">
      <c r="A302" s="5" t="s">
        <v>25</v>
      </c>
      <c r="B302" s="5" t="s">
        <v>201</v>
      </c>
      <c r="C302" s="5" t="s">
        <v>59</v>
      </c>
      <c r="D302" s="6" t="s">
        <v>62</v>
      </c>
      <c r="E302" s="5" t="s">
        <v>29</v>
      </c>
      <c r="F302" s="5" t="s">
        <v>31</v>
      </c>
      <c r="G302" s="7"/>
      <c r="H302" s="5" t="str">
        <f aca="false">IF($G302="","",IF(LOWER(TRIM($G302))=LOWER(TRIM($F302)),"Match","Mismatch"))</f>
        <v/>
      </c>
      <c r="I302" s="5" t="str">
        <f aca="false">IF($G302="","",IF(LOWER(TRIM($G302))=LOWER(TRIM($E302)),"Match","Mismatch"))</f>
        <v/>
      </c>
      <c r="J302" s="6"/>
    </row>
    <row r="303" customFormat="false" ht="15" hidden="false" customHeight="false" outlineLevel="0" collapsed="false">
      <c r="A303" s="5" t="s">
        <v>25</v>
      </c>
      <c r="B303" s="5" t="s">
        <v>201</v>
      </c>
      <c r="C303" s="5" t="s">
        <v>59</v>
      </c>
      <c r="D303" s="6" t="s">
        <v>63</v>
      </c>
      <c r="E303" s="5" t="s">
        <v>204</v>
      </c>
      <c r="F303" s="5" t="s">
        <v>205</v>
      </c>
      <c r="G303" s="7"/>
      <c r="H303" s="5" t="str">
        <f aca="false">IF($G303="","",IF(LOWER(TRIM($G303))=LOWER(TRIM($F303)),"Match","Mismatch"))</f>
        <v/>
      </c>
      <c r="I303" s="5" t="str">
        <f aca="false">IF($G303="","",IF(LOWER(TRIM($G303))=LOWER(TRIM($E303)),"Match","Mismatch"))</f>
        <v/>
      </c>
      <c r="J303" s="6"/>
    </row>
    <row r="304" customFormat="false" ht="23.85" hidden="false" customHeight="false" outlineLevel="0" collapsed="false">
      <c r="A304" s="5" t="s">
        <v>25</v>
      </c>
      <c r="B304" s="5" t="s">
        <v>201</v>
      </c>
      <c r="C304" s="5" t="s">
        <v>59</v>
      </c>
      <c r="D304" s="6" t="s">
        <v>66</v>
      </c>
      <c r="E304" s="5" t="s">
        <v>29</v>
      </c>
      <c r="F304" s="5" t="s">
        <v>31</v>
      </c>
      <c r="G304" s="7"/>
      <c r="H304" s="5" t="str">
        <f aca="false">IF($G304="","",IF(LOWER(TRIM($G304))=LOWER(TRIM($F304)),"Match","Mismatch"))</f>
        <v/>
      </c>
      <c r="I304" s="5" t="str">
        <f aca="false">IF($G304="","",IF(LOWER(TRIM($G304))=LOWER(TRIM($E304)),"Match","Mismatch"))</f>
        <v/>
      </c>
      <c r="J304" s="6"/>
    </row>
    <row r="305" customFormat="false" ht="15" hidden="false" customHeight="false" outlineLevel="0" collapsed="false">
      <c r="A305" s="5" t="s">
        <v>25</v>
      </c>
      <c r="B305" s="5" t="s">
        <v>201</v>
      </c>
      <c r="C305" s="5" t="s">
        <v>67</v>
      </c>
      <c r="D305" s="6" t="s">
        <v>68</v>
      </c>
      <c r="E305" s="5" t="s">
        <v>206</v>
      </c>
      <c r="F305" s="5" t="s">
        <v>207</v>
      </c>
      <c r="G305" s="7"/>
      <c r="H305" s="5" t="str">
        <f aca="false">IF($G305="","",IF(LOWER(TRIM($G305))=LOWER(TRIM($F305)),"Match","Mismatch"))</f>
        <v/>
      </c>
      <c r="I305" s="5" t="str">
        <f aca="false">IF($G305="","",IF(LOWER(TRIM($G305))=LOWER(TRIM($E305)),"Match","Mismatch"))</f>
        <v/>
      </c>
      <c r="J305" s="6"/>
    </row>
    <row r="306" customFormat="false" ht="15" hidden="false" customHeight="false" outlineLevel="0" collapsed="false">
      <c r="A306" s="5" t="s">
        <v>25</v>
      </c>
      <c r="B306" s="5" t="s">
        <v>201</v>
      </c>
      <c r="C306" s="5" t="s">
        <v>70</v>
      </c>
      <c r="D306" s="6" t="s">
        <v>71</v>
      </c>
      <c r="E306" s="5" t="s">
        <v>208</v>
      </c>
      <c r="F306" s="5" t="s">
        <v>209</v>
      </c>
      <c r="G306" s="7"/>
      <c r="H306" s="5" t="str">
        <f aca="false">IF($G306="","",IF(LOWER(TRIM($G306))=LOWER(TRIM($F306)),"Match","Mismatch"))</f>
        <v/>
      </c>
      <c r="I306" s="5" t="str">
        <f aca="false">IF($G306="","",IF(LOWER(TRIM($G306))=LOWER(TRIM($E306)),"Match","Mismatch"))</f>
        <v/>
      </c>
      <c r="J306" s="6"/>
    </row>
    <row r="307" customFormat="false" ht="15" hidden="false" customHeight="false" outlineLevel="0" collapsed="false">
      <c r="A307" s="5" t="s">
        <v>25</v>
      </c>
      <c r="B307" s="5" t="s">
        <v>201</v>
      </c>
      <c r="C307" s="5" t="s">
        <v>70</v>
      </c>
      <c r="D307" s="6" t="s">
        <v>73</v>
      </c>
      <c r="E307" s="5" t="s">
        <v>208</v>
      </c>
      <c r="F307" s="5" t="s">
        <v>210</v>
      </c>
      <c r="G307" s="7"/>
      <c r="H307" s="5" t="str">
        <f aca="false">IF($G307="","",IF(LOWER(TRIM($G307))=LOWER(TRIM($F307)),"Match","Mismatch"))</f>
        <v/>
      </c>
      <c r="I307" s="5" t="str">
        <f aca="false">IF($G307="","",IF(LOWER(TRIM($G307))=LOWER(TRIM($E307)),"Match","Mismatch"))</f>
        <v/>
      </c>
      <c r="J307" s="6"/>
    </row>
    <row r="308" customFormat="false" ht="15" hidden="false" customHeight="false" outlineLevel="0" collapsed="false">
      <c r="A308" s="5" t="s">
        <v>25</v>
      </c>
      <c r="B308" s="5" t="s">
        <v>201</v>
      </c>
      <c r="C308" s="5" t="s">
        <v>70</v>
      </c>
      <c r="D308" s="6" t="s">
        <v>75</v>
      </c>
      <c r="E308" s="5" t="s">
        <v>208</v>
      </c>
      <c r="F308" s="5" t="s">
        <v>211</v>
      </c>
      <c r="G308" s="7"/>
      <c r="H308" s="5" t="str">
        <f aca="false">IF($G308="","",IF(LOWER(TRIM($G308))=LOWER(TRIM($F308)),"Match","Mismatch"))</f>
        <v/>
      </c>
      <c r="I308" s="5" t="str">
        <f aca="false">IF($G308="","",IF(LOWER(TRIM($G308))=LOWER(TRIM($E308)),"Match","Mismatch"))</f>
        <v/>
      </c>
      <c r="J308" s="6"/>
    </row>
    <row r="309" customFormat="false" ht="15" hidden="false" customHeight="false" outlineLevel="0" collapsed="false">
      <c r="A309" s="5" t="s">
        <v>25</v>
      </c>
      <c r="B309" s="5" t="s">
        <v>201</v>
      </c>
      <c r="C309" s="5" t="s">
        <v>70</v>
      </c>
      <c r="D309" s="6" t="s">
        <v>77</v>
      </c>
      <c r="E309" s="5" t="s">
        <v>208</v>
      </c>
      <c r="F309" s="5" t="s">
        <v>212</v>
      </c>
      <c r="G309" s="7"/>
      <c r="H309" s="5" t="str">
        <f aca="false">IF($G309="","",IF(LOWER(TRIM($G309))=LOWER(TRIM($F309)),"Match","Mismatch"))</f>
        <v/>
      </c>
      <c r="I309" s="5" t="str">
        <f aca="false">IF($G309="","",IF(LOWER(TRIM($G309))=LOWER(TRIM($E309)),"Match","Mismatch"))</f>
        <v/>
      </c>
      <c r="J309" s="6"/>
    </row>
    <row r="310" customFormat="false" ht="15" hidden="false" customHeight="false" outlineLevel="0" collapsed="false">
      <c r="A310" s="5" t="s">
        <v>25</v>
      </c>
      <c r="B310" s="5" t="s">
        <v>201</v>
      </c>
      <c r="C310" s="5" t="s">
        <v>70</v>
      </c>
      <c r="D310" s="6" t="s">
        <v>80</v>
      </c>
      <c r="E310" s="5"/>
      <c r="F310" s="5" t="s">
        <v>213</v>
      </c>
      <c r="G310" s="7"/>
      <c r="H310" s="5" t="str">
        <f aca="false">IF($G310="","",IF(LOWER(TRIM($G310))=LOWER(TRIM($F310)),"Match","Mismatch"))</f>
        <v/>
      </c>
      <c r="I310" s="5" t="str">
        <f aca="false">IF($G310="","",IF(LOWER(TRIM($G310))=LOWER(TRIM($E310)),"Match","Mismatch"))</f>
        <v/>
      </c>
      <c r="J310" s="6"/>
    </row>
    <row r="311" customFormat="false" ht="15" hidden="false" customHeight="false" outlineLevel="0" collapsed="false">
      <c r="A311" s="5" t="s">
        <v>25</v>
      </c>
      <c r="B311" s="5" t="s">
        <v>201</v>
      </c>
      <c r="C311" s="5" t="s">
        <v>70</v>
      </c>
      <c r="D311" s="6" t="s">
        <v>82</v>
      </c>
      <c r="E311" s="5" t="s">
        <v>208</v>
      </c>
      <c r="F311" s="5" t="s">
        <v>214</v>
      </c>
      <c r="G311" s="7"/>
      <c r="H311" s="5" t="str">
        <f aca="false">IF($G311="","",IF(LOWER(TRIM($G311))=LOWER(TRIM($F311)),"Match","Mismatch"))</f>
        <v/>
      </c>
      <c r="I311" s="5" t="str">
        <f aca="false">IF($G311="","",IF(LOWER(TRIM($G311))=LOWER(TRIM($E311)),"Match","Mismatch"))</f>
        <v/>
      </c>
      <c r="J311" s="6"/>
    </row>
    <row r="312" customFormat="false" ht="15" hidden="false" customHeight="false" outlineLevel="0" collapsed="false">
      <c r="A312" s="5" t="s">
        <v>25</v>
      </c>
      <c r="B312" s="5" t="s">
        <v>201</v>
      </c>
      <c r="C312" s="5" t="s">
        <v>70</v>
      </c>
      <c r="D312" s="6" t="s">
        <v>84</v>
      </c>
      <c r="E312" s="5" t="s">
        <v>208</v>
      </c>
      <c r="F312" s="5" t="s">
        <v>101</v>
      </c>
      <c r="G312" s="7"/>
      <c r="H312" s="5" t="str">
        <f aca="false">IF($G312="","",IF(LOWER(TRIM($G312))=LOWER(TRIM($F312)),"Match","Mismatch"))</f>
        <v/>
      </c>
      <c r="I312" s="5" t="str">
        <f aca="false">IF($G312="","",IF(LOWER(TRIM($G312))=LOWER(TRIM($E312)),"Match","Mismatch"))</f>
        <v/>
      </c>
      <c r="J312" s="6"/>
    </row>
    <row r="313" customFormat="false" ht="15" hidden="false" customHeight="false" outlineLevel="0" collapsed="false">
      <c r="A313" s="5" t="s">
        <v>25</v>
      </c>
      <c r="B313" s="5" t="s">
        <v>201</v>
      </c>
      <c r="C313" s="5" t="s">
        <v>70</v>
      </c>
      <c r="D313" s="6" t="s">
        <v>86</v>
      </c>
      <c r="E313" s="5" t="s">
        <v>208</v>
      </c>
      <c r="F313" s="5" t="s">
        <v>215</v>
      </c>
      <c r="G313" s="7"/>
      <c r="H313" s="5" t="str">
        <f aca="false">IF($G313="","",IF(LOWER(TRIM($G313))=LOWER(TRIM($F313)),"Match","Mismatch"))</f>
        <v/>
      </c>
      <c r="I313" s="5" t="str">
        <f aca="false">IF($G313="","",IF(LOWER(TRIM($G313))=LOWER(TRIM($E313)),"Match","Mismatch"))</f>
        <v/>
      </c>
      <c r="J313" s="6"/>
    </row>
    <row r="314" customFormat="false" ht="23.85" hidden="false" customHeight="false" outlineLevel="0" collapsed="false">
      <c r="A314" s="5" t="s">
        <v>25</v>
      </c>
      <c r="B314" s="5" t="s">
        <v>216</v>
      </c>
      <c r="C314" s="5" t="s">
        <v>27</v>
      </c>
      <c r="D314" s="6" t="s">
        <v>28</v>
      </c>
      <c r="E314" s="5"/>
      <c r="F314" s="5" t="s">
        <v>29</v>
      </c>
      <c r="G314" s="7"/>
      <c r="H314" s="5" t="str">
        <f aca="false">IF($G314="","",IF(LOWER(TRIM($G314))=LOWER(TRIM($F314)),"Match","Mismatch"))</f>
        <v/>
      </c>
      <c r="I314" s="5" t="str">
        <f aca="false">IF($G314="","",IF(LOWER(TRIM($G314))=LOWER(TRIM($E314)),"Match","Mismatch"))</f>
        <v/>
      </c>
      <c r="J314" s="6"/>
    </row>
    <row r="315" customFormat="false" ht="23.85" hidden="false" customHeight="false" outlineLevel="0" collapsed="false">
      <c r="A315" s="5" t="s">
        <v>25</v>
      </c>
      <c r="B315" s="5" t="s">
        <v>216</v>
      </c>
      <c r="C315" s="5" t="s">
        <v>27</v>
      </c>
      <c r="D315" s="6" t="s">
        <v>30</v>
      </c>
      <c r="E315" s="5" t="s">
        <v>29</v>
      </c>
      <c r="F315" s="5" t="s">
        <v>31</v>
      </c>
      <c r="G315" s="7"/>
      <c r="H315" s="5" t="str">
        <f aca="false">IF($G315="","",IF(LOWER(TRIM($G315))=LOWER(TRIM($F315)),"Match","Mismatch"))</f>
        <v/>
      </c>
      <c r="I315" s="5" t="str">
        <f aca="false">IF($G315="","",IF(LOWER(TRIM($G315))=LOWER(TRIM($E315)),"Match","Mismatch"))</f>
        <v/>
      </c>
      <c r="J315" s="6"/>
    </row>
    <row r="316" customFormat="false" ht="35.05" hidden="false" customHeight="false" outlineLevel="0" collapsed="false">
      <c r="A316" s="5" t="s">
        <v>25</v>
      </c>
      <c r="B316" s="5" t="s">
        <v>216</v>
      </c>
      <c r="C316" s="5" t="s">
        <v>27</v>
      </c>
      <c r="D316" s="6" t="s">
        <v>32</v>
      </c>
      <c r="E316" s="5"/>
      <c r="F316" s="5" t="s">
        <v>31</v>
      </c>
      <c r="G316" s="7"/>
      <c r="H316" s="5" t="str">
        <f aca="false">IF($G316="","",IF(LOWER(TRIM($G316))=LOWER(TRIM($F316)),"Match","Mismatch"))</f>
        <v/>
      </c>
      <c r="I316" s="5" t="str">
        <f aca="false">IF($G316="","",IF(LOWER(TRIM($G316))=LOWER(TRIM($E316)),"Match","Mismatch"))</f>
        <v/>
      </c>
      <c r="J316" s="6"/>
    </row>
    <row r="317" customFormat="false" ht="23.85" hidden="false" customHeight="false" outlineLevel="0" collapsed="false">
      <c r="A317" s="5" t="s">
        <v>25</v>
      </c>
      <c r="B317" s="5" t="s">
        <v>216</v>
      </c>
      <c r="C317" s="5" t="s">
        <v>27</v>
      </c>
      <c r="D317" s="6" t="s">
        <v>34</v>
      </c>
      <c r="E317" s="5"/>
      <c r="F317" s="5" t="s">
        <v>29</v>
      </c>
      <c r="G317" s="7"/>
      <c r="H317" s="5" t="str">
        <f aca="false">IF($G317="","",IF(LOWER(TRIM($G317))=LOWER(TRIM($F317)),"Match","Mismatch"))</f>
        <v/>
      </c>
      <c r="I317" s="5" t="str">
        <f aca="false">IF($G317="","",IF(LOWER(TRIM($G317))=LOWER(TRIM($E317)),"Match","Mismatch"))</f>
        <v/>
      </c>
      <c r="J317" s="6"/>
    </row>
    <row r="318" customFormat="false" ht="15" hidden="false" customHeight="false" outlineLevel="0" collapsed="false">
      <c r="A318" s="5" t="s">
        <v>25</v>
      </c>
      <c r="B318" s="5" t="s">
        <v>216</v>
      </c>
      <c r="C318" s="5" t="s">
        <v>27</v>
      </c>
      <c r="D318" s="6" t="s">
        <v>35</v>
      </c>
      <c r="E318" s="5" t="s">
        <v>217</v>
      </c>
      <c r="F318" s="5" t="s">
        <v>218</v>
      </c>
      <c r="G318" s="7"/>
      <c r="H318" s="5" t="str">
        <f aca="false">IF($G318="","",IF(LOWER(TRIM($G318))=LOWER(TRIM($F318)),"Match","Mismatch"))</f>
        <v/>
      </c>
      <c r="I318" s="5" t="str">
        <f aca="false">IF($G318="","",IF(LOWER(TRIM($G318))=LOWER(TRIM($E318)),"Match","Mismatch"))</f>
        <v/>
      </c>
      <c r="J318" s="6"/>
    </row>
    <row r="319" customFormat="false" ht="23.85" hidden="false" customHeight="false" outlineLevel="0" collapsed="false">
      <c r="A319" s="5" t="s">
        <v>25</v>
      </c>
      <c r="B319" s="5" t="s">
        <v>216</v>
      </c>
      <c r="C319" s="5" t="s">
        <v>27</v>
      </c>
      <c r="D319" s="6" t="s">
        <v>38</v>
      </c>
      <c r="E319" s="5"/>
      <c r="F319" s="5" t="s">
        <v>29</v>
      </c>
      <c r="G319" s="7"/>
      <c r="H319" s="5" t="str">
        <f aca="false">IF($G319="","",IF(LOWER(TRIM($G319))=LOWER(TRIM($F319)),"Match","Mismatch"))</f>
        <v/>
      </c>
      <c r="I319" s="5" t="str">
        <f aca="false">IF($G319="","",IF(LOWER(TRIM($G319))=LOWER(TRIM($E319)),"Match","Mismatch"))</f>
        <v/>
      </c>
      <c r="J319" s="6"/>
    </row>
    <row r="320" customFormat="false" ht="15" hidden="false" customHeight="false" outlineLevel="0" collapsed="false">
      <c r="A320" s="5" t="s">
        <v>25</v>
      </c>
      <c r="B320" s="5" t="s">
        <v>216</v>
      </c>
      <c r="C320" s="5" t="s">
        <v>39</v>
      </c>
      <c r="D320" s="6" t="s">
        <v>40</v>
      </c>
      <c r="E320" s="5"/>
      <c r="F320" s="5" t="s">
        <v>41</v>
      </c>
      <c r="G320" s="7"/>
      <c r="H320" s="5" t="str">
        <f aca="false">IF($G320="","",IF(LOWER(TRIM($G320))=LOWER(TRIM($F320)),"Match","Mismatch"))</f>
        <v/>
      </c>
      <c r="I320" s="5" t="str">
        <f aca="false">IF($G320="","",IF(LOWER(TRIM($G320))=LOWER(TRIM($E320)),"Match","Mismatch"))</f>
        <v/>
      </c>
      <c r="J320" s="6"/>
    </row>
    <row r="321" customFormat="false" ht="23.85" hidden="false" customHeight="false" outlineLevel="0" collapsed="false">
      <c r="A321" s="5" t="s">
        <v>25</v>
      </c>
      <c r="B321" s="5" t="s">
        <v>216</v>
      </c>
      <c r="C321" s="5" t="s">
        <v>39</v>
      </c>
      <c r="D321" s="6" t="s">
        <v>42</v>
      </c>
      <c r="E321" s="5"/>
      <c r="F321" s="5" t="s">
        <v>55</v>
      </c>
      <c r="G321" s="7"/>
      <c r="H321" s="5" t="str">
        <f aca="false">IF($G321="","",IF(LOWER(TRIM($G321))=LOWER(TRIM($F321)),"Match","Mismatch"))</f>
        <v/>
      </c>
      <c r="I321" s="5" t="str">
        <f aca="false">IF($G321="","",IF(LOWER(TRIM($G321))=LOWER(TRIM($E321)),"Match","Mismatch"))</f>
        <v/>
      </c>
      <c r="J321" s="6"/>
    </row>
    <row r="322" customFormat="false" ht="23.85" hidden="false" customHeight="false" outlineLevel="0" collapsed="false">
      <c r="A322" s="5" t="s">
        <v>25</v>
      </c>
      <c r="B322" s="5" t="s">
        <v>216</v>
      </c>
      <c r="C322" s="5" t="s">
        <v>39</v>
      </c>
      <c r="D322" s="6" t="s">
        <v>44</v>
      </c>
      <c r="E322" s="5"/>
      <c r="F322" s="5" t="s">
        <v>41</v>
      </c>
      <c r="G322" s="7"/>
      <c r="H322" s="5" t="str">
        <f aca="false">IF($G322="","",IF(LOWER(TRIM($G322))=LOWER(TRIM($F322)),"Match","Mismatch"))</f>
        <v/>
      </c>
      <c r="I322" s="5" t="str">
        <f aca="false">IF($G322="","",IF(LOWER(TRIM($G322))=LOWER(TRIM($E322)),"Match","Mismatch"))</f>
        <v/>
      </c>
      <c r="J322" s="6"/>
    </row>
    <row r="323" customFormat="false" ht="15" hidden="false" customHeight="false" outlineLevel="0" collapsed="false">
      <c r="A323" s="5" t="s">
        <v>25</v>
      </c>
      <c r="B323" s="5" t="s">
        <v>216</v>
      </c>
      <c r="C323" s="5" t="s">
        <v>39</v>
      </c>
      <c r="D323" s="6" t="s">
        <v>47</v>
      </c>
      <c r="E323" s="5"/>
      <c r="F323" s="5" t="s">
        <v>55</v>
      </c>
      <c r="G323" s="7"/>
      <c r="H323" s="5" t="str">
        <f aca="false">IF($G323="","",IF(LOWER(TRIM($G323))=LOWER(TRIM($F323)),"Match","Mismatch"))</f>
        <v/>
      </c>
      <c r="I323" s="5" t="str">
        <f aca="false">IF($G323="","",IF(LOWER(TRIM($G323))=LOWER(TRIM($E323)),"Match","Mismatch"))</f>
        <v/>
      </c>
      <c r="J323" s="6"/>
    </row>
    <row r="324" customFormat="false" ht="15" hidden="false" customHeight="false" outlineLevel="0" collapsed="false">
      <c r="A324" s="5" t="s">
        <v>25</v>
      </c>
      <c r="B324" s="5" t="s">
        <v>216</v>
      </c>
      <c r="C324" s="5" t="s">
        <v>39</v>
      </c>
      <c r="D324" s="6" t="s">
        <v>48</v>
      </c>
      <c r="E324" s="5"/>
      <c r="F324" s="5" t="s">
        <v>46</v>
      </c>
      <c r="G324" s="7"/>
      <c r="H324" s="5" t="str">
        <f aca="false">IF($G324="","",IF(LOWER(TRIM($G324))=LOWER(TRIM($F324)),"Match","Mismatch"))</f>
        <v/>
      </c>
      <c r="I324" s="5" t="str">
        <f aca="false">IF($G324="","",IF(LOWER(TRIM($G324))=LOWER(TRIM($E324)),"Match","Mismatch"))</f>
        <v/>
      </c>
      <c r="J324" s="6"/>
    </row>
    <row r="325" customFormat="false" ht="23.85" hidden="false" customHeight="false" outlineLevel="0" collapsed="false">
      <c r="A325" s="5" t="s">
        <v>25</v>
      </c>
      <c r="B325" s="5" t="s">
        <v>216</v>
      </c>
      <c r="C325" s="5" t="s">
        <v>39</v>
      </c>
      <c r="D325" s="6" t="s">
        <v>50</v>
      </c>
      <c r="E325" s="5"/>
      <c r="F325" s="5" t="s">
        <v>41</v>
      </c>
      <c r="G325" s="7"/>
      <c r="H325" s="5" t="str">
        <f aca="false">IF($G325="","",IF(LOWER(TRIM($G325))=LOWER(TRIM($F325)),"Match","Mismatch"))</f>
        <v/>
      </c>
      <c r="I325" s="5" t="str">
        <f aca="false">IF($G325="","",IF(LOWER(TRIM($G325))=LOWER(TRIM($E325)),"Match","Mismatch"))</f>
        <v/>
      </c>
      <c r="J325" s="6"/>
    </row>
    <row r="326" customFormat="false" ht="15" hidden="false" customHeight="false" outlineLevel="0" collapsed="false">
      <c r="A326" s="5" t="s">
        <v>25</v>
      </c>
      <c r="B326" s="5" t="s">
        <v>216</v>
      </c>
      <c r="C326" s="5" t="s">
        <v>39</v>
      </c>
      <c r="D326" s="6" t="s">
        <v>51</v>
      </c>
      <c r="E326" s="5"/>
      <c r="F326" s="5" t="s">
        <v>46</v>
      </c>
      <c r="G326" s="7"/>
      <c r="H326" s="5" t="str">
        <f aca="false">IF($G326="","",IF(LOWER(TRIM($G326))=LOWER(TRIM($F326)),"Match","Mismatch"))</f>
        <v/>
      </c>
      <c r="I326" s="5" t="str">
        <f aca="false">IF($G326="","",IF(LOWER(TRIM($G326))=LOWER(TRIM($E326)),"Match","Mismatch"))</f>
        <v/>
      </c>
      <c r="J326" s="6"/>
    </row>
    <row r="327" customFormat="false" ht="15" hidden="false" customHeight="false" outlineLevel="0" collapsed="false">
      <c r="A327" s="5" t="s">
        <v>25</v>
      </c>
      <c r="B327" s="5" t="s">
        <v>216</v>
      </c>
      <c r="C327" s="5" t="s">
        <v>39</v>
      </c>
      <c r="D327" s="6" t="s">
        <v>53</v>
      </c>
      <c r="E327" s="5"/>
      <c r="F327" s="5" t="s">
        <v>46</v>
      </c>
      <c r="G327" s="7"/>
      <c r="H327" s="5" t="str">
        <f aca="false">IF($G327="","",IF(LOWER(TRIM($G327))=LOWER(TRIM($F327)),"Match","Mismatch"))</f>
        <v/>
      </c>
      <c r="I327" s="5" t="str">
        <f aca="false">IF($G327="","",IF(LOWER(TRIM($G327))=LOWER(TRIM($E327)),"Match","Mismatch"))</f>
        <v/>
      </c>
      <c r="J327" s="6"/>
    </row>
    <row r="328" customFormat="false" ht="23.85" hidden="false" customHeight="false" outlineLevel="0" collapsed="false">
      <c r="A328" s="5" t="s">
        <v>25</v>
      </c>
      <c r="B328" s="5" t="s">
        <v>216</v>
      </c>
      <c r="C328" s="5" t="s">
        <v>39</v>
      </c>
      <c r="D328" s="6" t="s">
        <v>56</v>
      </c>
      <c r="E328" s="5"/>
      <c r="F328" s="5" t="s">
        <v>41</v>
      </c>
      <c r="G328" s="7"/>
      <c r="H328" s="5" t="str">
        <f aca="false">IF($G328="","",IF(LOWER(TRIM($G328))=LOWER(TRIM($F328)),"Match","Mismatch"))</f>
        <v/>
      </c>
      <c r="I328" s="5" t="str">
        <f aca="false">IF($G328="","",IF(LOWER(TRIM($G328))=LOWER(TRIM($E328)),"Match","Mismatch"))</f>
        <v/>
      </c>
      <c r="J328" s="6"/>
    </row>
    <row r="329" customFormat="false" ht="15" hidden="false" customHeight="false" outlineLevel="0" collapsed="false">
      <c r="A329" s="5" t="s">
        <v>25</v>
      </c>
      <c r="B329" s="5" t="s">
        <v>216</v>
      </c>
      <c r="C329" s="5" t="s">
        <v>39</v>
      </c>
      <c r="D329" s="6" t="s">
        <v>57</v>
      </c>
      <c r="E329" s="5"/>
      <c r="F329" s="5" t="s">
        <v>41</v>
      </c>
      <c r="G329" s="7"/>
      <c r="H329" s="5" t="str">
        <f aca="false">IF($G329="","",IF(LOWER(TRIM($G329))=LOWER(TRIM($F329)),"Match","Mismatch"))</f>
        <v/>
      </c>
      <c r="I329" s="5" t="str">
        <f aca="false">IF($G329="","",IF(LOWER(TRIM($G329))=LOWER(TRIM($E329)),"Match","Mismatch"))</f>
        <v/>
      </c>
      <c r="J329" s="6"/>
    </row>
    <row r="330" customFormat="false" ht="15" hidden="false" customHeight="false" outlineLevel="0" collapsed="false">
      <c r="A330" s="5" t="s">
        <v>25</v>
      </c>
      <c r="B330" s="5" t="s">
        <v>216</v>
      </c>
      <c r="C330" s="5" t="s">
        <v>39</v>
      </c>
      <c r="D330" s="6" t="s">
        <v>58</v>
      </c>
      <c r="E330" s="5" t="s">
        <v>41</v>
      </c>
      <c r="F330" s="5"/>
      <c r="G330" s="7"/>
      <c r="H330" s="5" t="str">
        <f aca="false">IF($G330="","",IF(LOWER(TRIM($G330))=LOWER(TRIM($F330)),"Match","Mismatch"))</f>
        <v/>
      </c>
      <c r="I330" s="5" t="str">
        <f aca="false">IF($G330="","",IF(LOWER(TRIM($G330))=LOWER(TRIM($E330)),"Match","Mismatch"))</f>
        <v/>
      </c>
      <c r="J330" s="6"/>
    </row>
    <row r="331" customFormat="false" ht="15" hidden="false" customHeight="false" outlineLevel="0" collapsed="false">
      <c r="A331" s="5" t="s">
        <v>25</v>
      </c>
      <c r="B331" s="5" t="s">
        <v>216</v>
      </c>
      <c r="C331" s="5" t="s">
        <v>59</v>
      </c>
      <c r="D331" s="6" t="s">
        <v>60</v>
      </c>
      <c r="E331" s="5"/>
      <c r="F331" s="5" t="s">
        <v>29</v>
      </c>
      <c r="G331" s="7"/>
      <c r="H331" s="5" t="str">
        <f aca="false">IF($G331="","",IF(LOWER(TRIM($G331))=LOWER(TRIM($F331)),"Match","Mismatch"))</f>
        <v/>
      </c>
      <c r="I331" s="5" t="str">
        <f aca="false">IF($G331="","",IF(LOWER(TRIM($G331))=LOWER(TRIM($E331)),"Match","Mismatch"))</f>
        <v/>
      </c>
      <c r="J331" s="6"/>
    </row>
    <row r="332" customFormat="false" ht="23.85" hidden="false" customHeight="false" outlineLevel="0" collapsed="false">
      <c r="A332" s="5" t="s">
        <v>25</v>
      </c>
      <c r="B332" s="5" t="s">
        <v>216</v>
      </c>
      <c r="C332" s="5" t="s">
        <v>59</v>
      </c>
      <c r="D332" s="6" t="s">
        <v>61</v>
      </c>
      <c r="E332" s="5"/>
      <c r="F332" s="5" t="s">
        <v>31</v>
      </c>
      <c r="G332" s="7"/>
      <c r="H332" s="5" t="str">
        <f aca="false">IF($G332="","",IF(LOWER(TRIM($G332))=LOWER(TRIM($F332)),"Match","Mismatch"))</f>
        <v/>
      </c>
      <c r="I332" s="5" t="str">
        <f aca="false">IF($G332="","",IF(LOWER(TRIM($G332))=LOWER(TRIM($E332)),"Match","Mismatch"))</f>
        <v/>
      </c>
      <c r="J332" s="6"/>
    </row>
    <row r="333" customFormat="false" ht="15" hidden="false" customHeight="false" outlineLevel="0" collapsed="false">
      <c r="A333" s="5" t="s">
        <v>25</v>
      </c>
      <c r="B333" s="5" t="s">
        <v>216</v>
      </c>
      <c r="C333" s="5" t="s">
        <v>59</v>
      </c>
      <c r="D333" s="6" t="s">
        <v>62</v>
      </c>
      <c r="E333" s="5"/>
      <c r="F333" s="5" t="s">
        <v>31</v>
      </c>
      <c r="G333" s="7"/>
      <c r="H333" s="5" t="str">
        <f aca="false">IF($G333="","",IF(LOWER(TRIM($G333))=LOWER(TRIM($F333)),"Match","Mismatch"))</f>
        <v/>
      </c>
      <c r="I333" s="5" t="str">
        <f aca="false">IF($G333="","",IF(LOWER(TRIM($G333))=LOWER(TRIM($E333)),"Match","Mismatch"))</f>
        <v/>
      </c>
      <c r="J333" s="6"/>
    </row>
    <row r="334" customFormat="false" ht="15" hidden="false" customHeight="false" outlineLevel="0" collapsed="false">
      <c r="A334" s="5" t="s">
        <v>25</v>
      </c>
      <c r="B334" s="5" t="s">
        <v>216</v>
      </c>
      <c r="C334" s="5" t="s">
        <v>59</v>
      </c>
      <c r="D334" s="6" t="s">
        <v>63</v>
      </c>
      <c r="E334" s="5" t="s">
        <v>219</v>
      </c>
      <c r="F334" s="5"/>
      <c r="G334" s="7"/>
      <c r="H334" s="5" t="str">
        <f aca="false">IF($G334="","",IF(LOWER(TRIM($G334))=LOWER(TRIM($F334)),"Match","Mismatch"))</f>
        <v/>
      </c>
      <c r="I334" s="5" t="str">
        <f aca="false">IF($G334="","",IF(LOWER(TRIM($G334))=LOWER(TRIM($E334)),"Match","Mismatch"))</f>
        <v/>
      </c>
      <c r="J334" s="6"/>
    </row>
    <row r="335" customFormat="false" ht="23.85" hidden="false" customHeight="false" outlineLevel="0" collapsed="false">
      <c r="A335" s="5" t="s">
        <v>25</v>
      </c>
      <c r="B335" s="5" t="s">
        <v>216</v>
      </c>
      <c r="C335" s="5" t="s">
        <v>59</v>
      </c>
      <c r="D335" s="6" t="s">
        <v>66</v>
      </c>
      <c r="E335" s="5"/>
      <c r="F335" s="5" t="s">
        <v>31</v>
      </c>
      <c r="G335" s="7"/>
      <c r="H335" s="5" t="str">
        <f aca="false">IF($G335="","",IF(LOWER(TRIM($G335))=LOWER(TRIM($F335)),"Match","Mismatch"))</f>
        <v/>
      </c>
      <c r="I335" s="5" t="str">
        <f aca="false">IF($G335="","",IF(LOWER(TRIM($G335))=LOWER(TRIM($E335)),"Match","Mismatch"))</f>
        <v/>
      </c>
      <c r="J335" s="6"/>
    </row>
    <row r="336" customFormat="false" ht="15" hidden="false" customHeight="false" outlineLevel="0" collapsed="false">
      <c r="A336" s="5" t="s">
        <v>25</v>
      </c>
      <c r="B336" s="5" t="s">
        <v>216</v>
      </c>
      <c r="C336" s="5" t="s">
        <v>67</v>
      </c>
      <c r="D336" s="6" t="s">
        <v>68</v>
      </c>
      <c r="E336" s="5" t="s">
        <v>220</v>
      </c>
      <c r="F336" s="5" t="s">
        <v>221</v>
      </c>
      <c r="G336" s="7"/>
      <c r="H336" s="5" t="str">
        <f aca="false">IF($G336="","",IF(LOWER(TRIM($G336))=LOWER(TRIM($F336)),"Match","Mismatch"))</f>
        <v/>
      </c>
      <c r="I336" s="5" t="str">
        <f aca="false">IF($G336="","",IF(LOWER(TRIM($G336))=LOWER(TRIM($E336)),"Match","Mismatch"))</f>
        <v/>
      </c>
      <c r="J336" s="6"/>
    </row>
    <row r="337" customFormat="false" ht="15" hidden="false" customHeight="false" outlineLevel="0" collapsed="false">
      <c r="A337" s="5" t="s">
        <v>25</v>
      </c>
      <c r="B337" s="5" t="s">
        <v>216</v>
      </c>
      <c r="C337" s="5" t="s">
        <v>70</v>
      </c>
      <c r="D337" s="6" t="s">
        <v>71</v>
      </c>
      <c r="E337" s="5" t="s">
        <v>222</v>
      </c>
      <c r="F337" s="5" t="s">
        <v>223</v>
      </c>
      <c r="G337" s="7"/>
      <c r="H337" s="5" t="str">
        <f aca="false">IF($G337="","",IF(LOWER(TRIM($G337))=LOWER(TRIM($F337)),"Match","Mismatch"))</f>
        <v/>
      </c>
      <c r="I337" s="5" t="str">
        <f aca="false">IF($G337="","",IF(LOWER(TRIM($G337))=LOWER(TRIM($E337)),"Match","Mismatch"))</f>
        <v/>
      </c>
      <c r="J337" s="6"/>
    </row>
    <row r="338" customFormat="false" ht="15" hidden="false" customHeight="false" outlineLevel="0" collapsed="false">
      <c r="A338" s="5" t="s">
        <v>25</v>
      </c>
      <c r="B338" s="5" t="s">
        <v>216</v>
      </c>
      <c r="C338" s="5" t="s">
        <v>70</v>
      </c>
      <c r="D338" s="6" t="s">
        <v>73</v>
      </c>
      <c r="E338" s="5" t="s">
        <v>222</v>
      </c>
      <c r="F338" s="5" t="s">
        <v>224</v>
      </c>
      <c r="G338" s="7"/>
      <c r="H338" s="5" t="str">
        <f aca="false">IF($G338="","",IF(LOWER(TRIM($G338))=LOWER(TRIM($F338)),"Match","Mismatch"))</f>
        <v/>
      </c>
      <c r="I338" s="5" t="str">
        <f aca="false">IF($G338="","",IF(LOWER(TRIM($G338))=LOWER(TRIM($E338)),"Match","Mismatch"))</f>
        <v/>
      </c>
      <c r="J338" s="6"/>
    </row>
    <row r="339" customFormat="false" ht="15" hidden="false" customHeight="false" outlineLevel="0" collapsed="false">
      <c r="A339" s="5" t="s">
        <v>25</v>
      </c>
      <c r="B339" s="5" t="s">
        <v>216</v>
      </c>
      <c r="C339" s="5" t="s">
        <v>70</v>
      </c>
      <c r="D339" s="6" t="s">
        <v>75</v>
      </c>
      <c r="E339" s="5" t="s">
        <v>222</v>
      </c>
      <c r="F339" s="5" t="s">
        <v>225</v>
      </c>
      <c r="G339" s="7"/>
      <c r="H339" s="5" t="str">
        <f aca="false">IF($G339="","",IF(LOWER(TRIM($G339))=LOWER(TRIM($F339)),"Match","Mismatch"))</f>
        <v/>
      </c>
      <c r="I339" s="5" t="str">
        <f aca="false">IF($G339="","",IF(LOWER(TRIM($G339))=LOWER(TRIM($E339)),"Match","Mismatch"))</f>
        <v/>
      </c>
      <c r="J339" s="6"/>
    </row>
    <row r="340" customFormat="false" ht="15" hidden="false" customHeight="false" outlineLevel="0" collapsed="false">
      <c r="A340" s="5" t="s">
        <v>25</v>
      </c>
      <c r="B340" s="5" t="s">
        <v>216</v>
      </c>
      <c r="C340" s="5" t="s">
        <v>70</v>
      </c>
      <c r="D340" s="6" t="s">
        <v>77</v>
      </c>
      <c r="E340" s="5" t="s">
        <v>222</v>
      </c>
      <c r="F340" s="5" t="s">
        <v>226</v>
      </c>
      <c r="G340" s="7"/>
      <c r="H340" s="5" t="str">
        <f aca="false">IF($G340="","",IF(LOWER(TRIM($G340))=LOWER(TRIM($F340)),"Match","Mismatch"))</f>
        <v/>
      </c>
      <c r="I340" s="5" t="str">
        <f aca="false">IF($G340="","",IF(LOWER(TRIM($G340))=LOWER(TRIM($E340)),"Match","Mismatch"))</f>
        <v/>
      </c>
      <c r="J340" s="6"/>
    </row>
    <row r="341" customFormat="false" ht="15" hidden="false" customHeight="false" outlineLevel="0" collapsed="false">
      <c r="A341" s="5" t="s">
        <v>25</v>
      </c>
      <c r="B341" s="5" t="s">
        <v>216</v>
      </c>
      <c r="C341" s="5" t="s">
        <v>70</v>
      </c>
      <c r="D341" s="6" t="s">
        <v>80</v>
      </c>
      <c r="E341" s="5" t="s">
        <v>227</v>
      </c>
      <c r="F341" s="5" t="s">
        <v>228</v>
      </c>
      <c r="G341" s="7"/>
      <c r="H341" s="5" t="str">
        <f aca="false">IF($G341="","",IF(LOWER(TRIM($G341))=LOWER(TRIM($F341)),"Match","Mismatch"))</f>
        <v/>
      </c>
      <c r="I341" s="5" t="str">
        <f aca="false">IF($G341="","",IF(LOWER(TRIM($G341))=LOWER(TRIM($E341)),"Match","Mismatch"))</f>
        <v/>
      </c>
      <c r="J341" s="6"/>
    </row>
    <row r="342" customFormat="false" ht="15" hidden="false" customHeight="false" outlineLevel="0" collapsed="false">
      <c r="A342" s="5" t="s">
        <v>25</v>
      </c>
      <c r="B342" s="5" t="s">
        <v>216</v>
      </c>
      <c r="C342" s="5" t="s">
        <v>70</v>
      </c>
      <c r="D342" s="6" t="s">
        <v>82</v>
      </c>
      <c r="E342" s="5" t="s">
        <v>222</v>
      </c>
      <c r="F342" s="5" t="s">
        <v>229</v>
      </c>
      <c r="G342" s="7"/>
      <c r="H342" s="5" t="str">
        <f aca="false">IF($G342="","",IF(LOWER(TRIM($G342))=LOWER(TRIM($F342)),"Match","Mismatch"))</f>
        <v/>
      </c>
      <c r="I342" s="5" t="str">
        <f aca="false">IF($G342="","",IF(LOWER(TRIM($G342))=LOWER(TRIM($E342)),"Match","Mismatch"))</f>
        <v/>
      </c>
      <c r="J342" s="6"/>
    </row>
    <row r="343" customFormat="false" ht="15" hidden="false" customHeight="false" outlineLevel="0" collapsed="false">
      <c r="A343" s="5" t="s">
        <v>25</v>
      </c>
      <c r="B343" s="5" t="s">
        <v>216</v>
      </c>
      <c r="C343" s="5" t="s">
        <v>70</v>
      </c>
      <c r="D343" s="6" t="s">
        <v>84</v>
      </c>
      <c r="E343" s="5" t="s">
        <v>222</v>
      </c>
      <c r="F343" s="5" t="s">
        <v>101</v>
      </c>
      <c r="G343" s="7"/>
      <c r="H343" s="5" t="str">
        <f aca="false">IF($G343="","",IF(LOWER(TRIM($G343))=LOWER(TRIM($F343)),"Match","Mismatch"))</f>
        <v/>
      </c>
      <c r="I343" s="5" t="str">
        <f aca="false">IF($G343="","",IF(LOWER(TRIM($G343))=LOWER(TRIM($E343)),"Match","Mismatch"))</f>
        <v/>
      </c>
      <c r="J343" s="6"/>
    </row>
    <row r="344" customFormat="false" ht="15" hidden="false" customHeight="false" outlineLevel="0" collapsed="false">
      <c r="A344" s="5" t="s">
        <v>25</v>
      </c>
      <c r="B344" s="5" t="s">
        <v>216</v>
      </c>
      <c r="C344" s="5" t="s">
        <v>70</v>
      </c>
      <c r="D344" s="6" t="s">
        <v>86</v>
      </c>
      <c r="E344" s="5" t="s">
        <v>222</v>
      </c>
      <c r="F344" s="5" t="s">
        <v>230</v>
      </c>
      <c r="G344" s="7"/>
      <c r="H344" s="5" t="str">
        <f aca="false">IF($G344="","",IF(LOWER(TRIM($G344))=LOWER(TRIM($F344)),"Match","Mismatch"))</f>
        <v/>
      </c>
      <c r="I344" s="5" t="str">
        <f aca="false">IF($G344="","",IF(LOWER(TRIM($G344))=LOWER(TRIM($E344)),"Match","Mismatch"))</f>
        <v/>
      </c>
      <c r="J344" s="6"/>
    </row>
    <row r="345" customFormat="false" ht="35.05" hidden="false" customHeight="false" outlineLevel="0" collapsed="false">
      <c r="A345" s="5" t="s">
        <v>25</v>
      </c>
      <c r="B345" s="5" t="s">
        <v>231</v>
      </c>
      <c r="C345" s="5" t="s">
        <v>27</v>
      </c>
      <c r="D345" s="6" t="s">
        <v>32</v>
      </c>
      <c r="E345" s="5"/>
      <c r="F345" s="5" t="s">
        <v>31</v>
      </c>
      <c r="G345" s="7"/>
      <c r="H345" s="5" t="str">
        <f aca="false">IF($G345="","",IF(LOWER(TRIM($G345))=LOWER(TRIM($F345)),"Match","Mismatch"))</f>
        <v/>
      </c>
      <c r="I345" s="5" t="str">
        <f aca="false">IF($G345="","",IF(LOWER(TRIM($G345))=LOWER(TRIM($E345)),"Match","Mismatch"))</f>
        <v/>
      </c>
      <c r="J345" s="6"/>
    </row>
    <row r="346" customFormat="false" ht="35.05" hidden="false" customHeight="false" outlineLevel="0" collapsed="false">
      <c r="A346" s="5" t="s">
        <v>25</v>
      </c>
      <c r="B346" s="5" t="s">
        <v>231</v>
      </c>
      <c r="C346" s="5" t="s">
        <v>27</v>
      </c>
      <c r="D346" s="6" t="s">
        <v>33</v>
      </c>
      <c r="E346" s="5"/>
      <c r="F346" s="5" t="s">
        <v>29</v>
      </c>
      <c r="G346" s="7"/>
      <c r="H346" s="5" t="str">
        <f aca="false">IF($G346="","",IF(LOWER(TRIM($G346))=LOWER(TRIM($F346)),"Match","Mismatch"))</f>
        <v/>
      </c>
      <c r="I346" s="5" t="str">
        <f aca="false">IF($G346="","",IF(LOWER(TRIM($G346))=LOWER(TRIM($E346)),"Match","Mismatch"))</f>
        <v/>
      </c>
      <c r="J346" s="6"/>
    </row>
    <row r="347" customFormat="false" ht="23.85" hidden="false" customHeight="false" outlineLevel="0" collapsed="false">
      <c r="A347" s="5" t="s">
        <v>25</v>
      </c>
      <c r="B347" s="5" t="s">
        <v>231</v>
      </c>
      <c r="C347" s="5" t="s">
        <v>27</v>
      </c>
      <c r="D347" s="6" t="s">
        <v>34</v>
      </c>
      <c r="E347" s="5"/>
      <c r="F347" s="5" t="s">
        <v>31</v>
      </c>
      <c r="G347" s="7"/>
      <c r="H347" s="5" t="str">
        <f aca="false">IF($G347="","",IF(LOWER(TRIM($G347))=LOWER(TRIM($F347)),"Match","Mismatch"))</f>
        <v/>
      </c>
      <c r="I347" s="5" t="str">
        <f aca="false">IF($G347="","",IF(LOWER(TRIM($G347))=LOWER(TRIM($E347)),"Match","Mismatch"))</f>
        <v/>
      </c>
      <c r="J347" s="6"/>
    </row>
    <row r="348" customFormat="false" ht="15" hidden="false" customHeight="false" outlineLevel="0" collapsed="false">
      <c r="A348" s="5" t="s">
        <v>25</v>
      </c>
      <c r="B348" s="5" t="s">
        <v>231</v>
      </c>
      <c r="C348" s="5" t="s">
        <v>27</v>
      </c>
      <c r="D348" s="6" t="s">
        <v>35</v>
      </c>
      <c r="E348" s="5" t="s">
        <v>232</v>
      </c>
      <c r="F348" s="5" t="s">
        <v>233</v>
      </c>
      <c r="G348" s="7"/>
      <c r="H348" s="5" t="str">
        <f aca="false">IF($G348="","",IF(LOWER(TRIM($G348))=LOWER(TRIM($F348)),"Match","Mismatch"))</f>
        <v/>
      </c>
      <c r="I348" s="5" t="str">
        <f aca="false">IF($G348="","",IF(LOWER(TRIM($G348))=LOWER(TRIM($E348)),"Match","Mismatch"))</f>
        <v/>
      </c>
      <c r="J348" s="6"/>
    </row>
    <row r="349" customFormat="false" ht="23.85" hidden="false" customHeight="false" outlineLevel="0" collapsed="false">
      <c r="A349" s="5" t="s">
        <v>25</v>
      </c>
      <c r="B349" s="5" t="s">
        <v>231</v>
      </c>
      <c r="C349" s="5" t="s">
        <v>27</v>
      </c>
      <c r="D349" s="6" t="s">
        <v>37</v>
      </c>
      <c r="E349" s="5" t="s">
        <v>29</v>
      </c>
      <c r="F349" s="5" t="s">
        <v>31</v>
      </c>
      <c r="G349" s="7"/>
      <c r="H349" s="5" t="str">
        <f aca="false">IF($G349="","",IF(LOWER(TRIM($G349))=LOWER(TRIM($F349)),"Match","Mismatch"))</f>
        <v/>
      </c>
      <c r="I349" s="5" t="str">
        <f aca="false">IF($G349="","",IF(LOWER(TRIM($G349))=LOWER(TRIM($E349)),"Match","Mismatch"))</f>
        <v/>
      </c>
      <c r="J349" s="6"/>
    </row>
    <row r="350" customFormat="false" ht="15" hidden="false" customHeight="false" outlineLevel="0" collapsed="false">
      <c r="A350" s="5" t="s">
        <v>25</v>
      </c>
      <c r="B350" s="5" t="s">
        <v>231</v>
      </c>
      <c r="C350" s="5" t="s">
        <v>39</v>
      </c>
      <c r="D350" s="6" t="s">
        <v>40</v>
      </c>
      <c r="E350" s="5" t="s">
        <v>41</v>
      </c>
      <c r="F350" s="5" t="s">
        <v>46</v>
      </c>
      <c r="G350" s="7"/>
      <c r="H350" s="5" t="str">
        <f aca="false">IF($G350="","",IF(LOWER(TRIM($G350))=LOWER(TRIM($F350)),"Match","Mismatch"))</f>
        <v/>
      </c>
      <c r="I350" s="5" t="str">
        <f aca="false">IF($G350="","",IF(LOWER(TRIM($G350))=LOWER(TRIM($E350)),"Match","Mismatch"))</f>
        <v/>
      </c>
      <c r="J350" s="6"/>
    </row>
    <row r="351" customFormat="false" ht="23.85" hidden="false" customHeight="false" outlineLevel="0" collapsed="false">
      <c r="A351" s="5" t="s">
        <v>25</v>
      </c>
      <c r="B351" s="5" t="s">
        <v>231</v>
      </c>
      <c r="C351" s="5" t="s">
        <v>39</v>
      </c>
      <c r="D351" s="6" t="s">
        <v>42</v>
      </c>
      <c r="E351" s="5" t="s">
        <v>41</v>
      </c>
      <c r="F351" s="5" t="s">
        <v>55</v>
      </c>
      <c r="G351" s="7"/>
      <c r="H351" s="5" t="str">
        <f aca="false">IF($G351="","",IF(LOWER(TRIM($G351))=LOWER(TRIM($F351)),"Match","Mismatch"))</f>
        <v/>
      </c>
      <c r="I351" s="5" t="str">
        <f aca="false">IF($G351="","",IF(LOWER(TRIM($G351))=LOWER(TRIM($E351)),"Match","Mismatch"))</f>
        <v/>
      </c>
      <c r="J351" s="6"/>
    </row>
    <row r="352" customFormat="false" ht="15" hidden="false" customHeight="false" outlineLevel="0" collapsed="false">
      <c r="A352" s="5" t="s">
        <v>25</v>
      </c>
      <c r="B352" s="5" t="s">
        <v>231</v>
      </c>
      <c r="C352" s="5" t="s">
        <v>39</v>
      </c>
      <c r="D352" s="6" t="s">
        <v>45</v>
      </c>
      <c r="E352" s="5" t="s">
        <v>41</v>
      </c>
      <c r="F352" s="5" t="s">
        <v>46</v>
      </c>
      <c r="G352" s="7"/>
      <c r="H352" s="5" t="str">
        <f aca="false">IF($G352="","",IF(LOWER(TRIM($G352))=LOWER(TRIM($F352)),"Match","Mismatch"))</f>
        <v/>
      </c>
      <c r="I352" s="5" t="str">
        <f aca="false">IF($G352="","",IF(LOWER(TRIM($G352))=LOWER(TRIM($E352)),"Match","Mismatch"))</f>
        <v/>
      </c>
      <c r="J352" s="6"/>
    </row>
    <row r="353" customFormat="false" ht="15" hidden="false" customHeight="false" outlineLevel="0" collapsed="false">
      <c r="A353" s="5" t="s">
        <v>25</v>
      </c>
      <c r="B353" s="5" t="s">
        <v>231</v>
      </c>
      <c r="C353" s="5" t="s">
        <v>39</v>
      </c>
      <c r="D353" s="6" t="s">
        <v>47</v>
      </c>
      <c r="E353" s="5" t="s">
        <v>41</v>
      </c>
      <c r="F353" s="5" t="s">
        <v>43</v>
      </c>
      <c r="G353" s="7"/>
      <c r="H353" s="5" t="str">
        <f aca="false">IF($G353="","",IF(LOWER(TRIM($G353))=LOWER(TRIM($F353)),"Match","Mismatch"))</f>
        <v/>
      </c>
      <c r="I353" s="5" t="str">
        <f aca="false">IF($G353="","",IF(LOWER(TRIM($G353))=LOWER(TRIM($E353)),"Match","Mismatch"))</f>
        <v/>
      </c>
      <c r="J353" s="6"/>
    </row>
    <row r="354" customFormat="false" ht="15" hidden="false" customHeight="false" outlineLevel="0" collapsed="false">
      <c r="A354" s="5" t="s">
        <v>25</v>
      </c>
      <c r="B354" s="5" t="s">
        <v>231</v>
      </c>
      <c r="C354" s="5" t="s">
        <v>39</v>
      </c>
      <c r="D354" s="6" t="s">
        <v>48</v>
      </c>
      <c r="E354" s="5" t="s">
        <v>41</v>
      </c>
      <c r="F354" s="5" t="s">
        <v>46</v>
      </c>
      <c r="G354" s="7"/>
      <c r="H354" s="5" t="str">
        <f aca="false">IF($G354="","",IF(LOWER(TRIM($G354))=LOWER(TRIM($F354)),"Match","Mismatch"))</f>
        <v/>
      </c>
      <c r="I354" s="5" t="str">
        <f aca="false">IF($G354="","",IF(LOWER(TRIM($G354))=LOWER(TRIM($E354)),"Match","Mismatch"))</f>
        <v/>
      </c>
      <c r="J354" s="6"/>
    </row>
    <row r="355" customFormat="false" ht="15" hidden="false" customHeight="false" outlineLevel="0" collapsed="false">
      <c r="A355" s="5" t="s">
        <v>25</v>
      </c>
      <c r="B355" s="5" t="s">
        <v>231</v>
      </c>
      <c r="C355" s="5" t="s">
        <v>39</v>
      </c>
      <c r="D355" s="6" t="s">
        <v>49</v>
      </c>
      <c r="E355" s="5" t="s">
        <v>41</v>
      </c>
      <c r="F355" s="5" t="s">
        <v>46</v>
      </c>
      <c r="G355" s="7"/>
      <c r="H355" s="5" t="str">
        <f aca="false">IF($G355="","",IF(LOWER(TRIM($G355))=LOWER(TRIM($F355)),"Match","Mismatch"))</f>
        <v/>
      </c>
      <c r="I355" s="5" t="str">
        <f aca="false">IF($G355="","",IF(LOWER(TRIM($G355))=LOWER(TRIM($E355)),"Match","Mismatch"))</f>
        <v/>
      </c>
      <c r="J355" s="6"/>
    </row>
    <row r="356" customFormat="false" ht="15" hidden="false" customHeight="false" outlineLevel="0" collapsed="false">
      <c r="A356" s="5" t="s">
        <v>25</v>
      </c>
      <c r="B356" s="5" t="s">
        <v>231</v>
      </c>
      <c r="C356" s="5" t="s">
        <v>39</v>
      </c>
      <c r="D356" s="6" t="s">
        <v>51</v>
      </c>
      <c r="E356" s="5" t="s">
        <v>41</v>
      </c>
      <c r="F356" s="5" t="s">
        <v>46</v>
      </c>
      <c r="G356" s="7"/>
      <c r="H356" s="5" t="str">
        <f aca="false">IF($G356="","",IF(LOWER(TRIM($G356))=LOWER(TRIM($F356)),"Match","Mismatch"))</f>
        <v/>
      </c>
      <c r="I356" s="5" t="str">
        <f aca="false">IF($G356="","",IF(LOWER(TRIM($G356))=LOWER(TRIM($E356)),"Match","Mismatch"))</f>
        <v/>
      </c>
      <c r="J356" s="6"/>
    </row>
    <row r="357" customFormat="false" ht="15" hidden="false" customHeight="false" outlineLevel="0" collapsed="false">
      <c r="A357" s="5" t="s">
        <v>25</v>
      </c>
      <c r="B357" s="5" t="s">
        <v>231</v>
      </c>
      <c r="C357" s="5" t="s">
        <v>39</v>
      </c>
      <c r="D357" s="6" t="s">
        <v>52</v>
      </c>
      <c r="E357" s="5" t="s">
        <v>41</v>
      </c>
      <c r="F357" s="5" t="s">
        <v>46</v>
      </c>
      <c r="G357" s="7"/>
      <c r="H357" s="5" t="str">
        <f aca="false">IF($G357="","",IF(LOWER(TRIM($G357))=LOWER(TRIM($F357)),"Match","Mismatch"))</f>
        <v/>
      </c>
      <c r="I357" s="5" t="str">
        <f aca="false">IF($G357="","",IF(LOWER(TRIM($G357))=LOWER(TRIM($E357)),"Match","Mismatch"))</f>
        <v/>
      </c>
      <c r="J357" s="6"/>
    </row>
    <row r="358" customFormat="false" ht="15" hidden="false" customHeight="false" outlineLevel="0" collapsed="false">
      <c r="A358" s="5" t="s">
        <v>25</v>
      </c>
      <c r="B358" s="5" t="s">
        <v>231</v>
      </c>
      <c r="C358" s="5" t="s">
        <v>39</v>
      </c>
      <c r="D358" s="6" t="s">
        <v>53</v>
      </c>
      <c r="E358" s="5" t="s">
        <v>41</v>
      </c>
      <c r="F358" s="5" t="s">
        <v>46</v>
      </c>
      <c r="G358" s="7"/>
      <c r="H358" s="5" t="str">
        <f aca="false">IF($G358="","",IF(LOWER(TRIM($G358))=LOWER(TRIM($F358)),"Match","Mismatch"))</f>
        <v/>
      </c>
      <c r="I358" s="5" t="str">
        <f aca="false">IF($G358="","",IF(LOWER(TRIM($G358))=LOWER(TRIM($E358)),"Match","Mismatch"))</f>
        <v/>
      </c>
      <c r="J358" s="6"/>
    </row>
    <row r="359" customFormat="false" ht="15" hidden="false" customHeight="false" outlineLevel="0" collapsed="false">
      <c r="A359" s="5" t="s">
        <v>25</v>
      </c>
      <c r="B359" s="5" t="s">
        <v>231</v>
      </c>
      <c r="C359" s="5" t="s">
        <v>39</v>
      </c>
      <c r="D359" s="6" t="s">
        <v>54</v>
      </c>
      <c r="E359" s="5" t="s">
        <v>41</v>
      </c>
      <c r="F359" s="5" t="s">
        <v>46</v>
      </c>
      <c r="G359" s="7"/>
      <c r="H359" s="5" t="str">
        <f aca="false">IF($G359="","",IF(LOWER(TRIM($G359))=LOWER(TRIM($F359)),"Match","Mismatch"))</f>
        <v/>
      </c>
      <c r="I359" s="5" t="str">
        <f aca="false">IF($G359="","",IF(LOWER(TRIM($G359))=LOWER(TRIM($E359)),"Match","Mismatch"))</f>
        <v/>
      </c>
      <c r="J359" s="6"/>
    </row>
    <row r="360" customFormat="false" ht="15" hidden="false" customHeight="false" outlineLevel="0" collapsed="false">
      <c r="A360" s="5" t="s">
        <v>25</v>
      </c>
      <c r="B360" s="5" t="s">
        <v>231</v>
      </c>
      <c r="C360" s="5" t="s">
        <v>39</v>
      </c>
      <c r="D360" s="6" t="s">
        <v>58</v>
      </c>
      <c r="E360" s="5" t="s">
        <v>41</v>
      </c>
      <c r="F360" s="5" t="s">
        <v>55</v>
      </c>
      <c r="G360" s="7"/>
      <c r="H360" s="5" t="str">
        <f aca="false">IF($G360="","",IF(LOWER(TRIM($G360))=LOWER(TRIM($F360)),"Match","Mismatch"))</f>
        <v/>
      </c>
      <c r="I360" s="5" t="str">
        <f aca="false">IF($G360="","",IF(LOWER(TRIM($G360))=LOWER(TRIM($E360)),"Match","Mismatch"))</f>
        <v/>
      </c>
      <c r="J360" s="6"/>
    </row>
    <row r="361" customFormat="false" ht="23.85" hidden="false" customHeight="false" outlineLevel="0" collapsed="false">
      <c r="A361" s="5" t="s">
        <v>25</v>
      </c>
      <c r="B361" s="5" t="s">
        <v>231</v>
      </c>
      <c r="C361" s="5" t="s">
        <v>59</v>
      </c>
      <c r="D361" s="6" t="s">
        <v>61</v>
      </c>
      <c r="E361" s="5"/>
      <c r="F361" s="5" t="s">
        <v>31</v>
      </c>
      <c r="G361" s="7"/>
      <c r="H361" s="5" t="str">
        <f aca="false">IF($G361="","",IF(LOWER(TRIM($G361))=LOWER(TRIM($F361)),"Match","Mismatch"))</f>
        <v/>
      </c>
      <c r="I361" s="5" t="str">
        <f aca="false">IF($G361="","",IF(LOWER(TRIM($G361))=LOWER(TRIM($E361)),"Match","Mismatch"))</f>
        <v/>
      </c>
      <c r="J361" s="6"/>
    </row>
    <row r="362" customFormat="false" ht="15" hidden="false" customHeight="false" outlineLevel="0" collapsed="false">
      <c r="A362" s="5" t="s">
        <v>25</v>
      </c>
      <c r="B362" s="5" t="s">
        <v>231</v>
      </c>
      <c r="C362" s="5" t="s">
        <v>59</v>
      </c>
      <c r="D362" s="6" t="s">
        <v>62</v>
      </c>
      <c r="E362" s="5"/>
      <c r="F362" s="5" t="s">
        <v>31</v>
      </c>
      <c r="G362" s="7"/>
      <c r="H362" s="5" t="str">
        <f aca="false">IF($G362="","",IF(LOWER(TRIM($G362))=LOWER(TRIM($F362)),"Match","Mismatch"))</f>
        <v/>
      </c>
      <c r="I362" s="5" t="str">
        <f aca="false">IF($G362="","",IF(LOWER(TRIM($G362))=LOWER(TRIM($E362)),"Match","Mismatch"))</f>
        <v/>
      </c>
      <c r="J362" s="6"/>
    </row>
    <row r="363" customFormat="false" ht="15" hidden="false" customHeight="false" outlineLevel="0" collapsed="false">
      <c r="A363" s="5" t="s">
        <v>25</v>
      </c>
      <c r="B363" s="5" t="s">
        <v>231</v>
      </c>
      <c r="C363" s="5" t="s">
        <v>59</v>
      </c>
      <c r="D363" s="6" t="s">
        <v>63</v>
      </c>
      <c r="E363" s="5" t="s">
        <v>234</v>
      </c>
      <c r="F363" s="5" t="s">
        <v>235</v>
      </c>
      <c r="G363" s="7"/>
      <c r="H363" s="5" t="str">
        <f aca="false">IF($G363="","",IF(LOWER(TRIM($G363))=LOWER(TRIM($F363)),"Match","Mismatch"))</f>
        <v/>
      </c>
      <c r="I363" s="5" t="str">
        <f aca="false">IF($G363="","",IF(LOWER(TRIM($G363))=LOWER(TRIM($E363)),"Match","Mismatch"))</f>
        <v/>
      </c>
      <c r="J363" s="6"/>
    </row>
    <row r="364" customFormat="false" ht="23.85" hidden="false" customHeight="false" outlineLevel="0" collapsed="false">
      <c r="A364" s="5" t="s">
        <v>25</v>
      </c>
      <c r="B364" s="5" t="s">
        <v>231</v>
      </c>
      <c r="C364" s="5" t="s">
        <v>59</v>
      </c>
      <c r="D364" s="6" t="s">
        <v>66</v>
      </c>
      <c r="E364" s="5"/>
      <c r="F364" s="5" t="s">
        <v>31</v>
      </c>
      <c r="G364" s="7"/>
      <c r="H364" s="5" t="str">
        <f aca="false">IF($G364="","",IF(LOWER(TRIM($G364))=LOWER(TRIM($F364)),"Match","Mismatch"))</f>
        <v/>
      </c>
      <c r="I364" s="5" t="str">
        <f aca="false">IF($G364="","",IF(LOWER(TRIM($G364))=LOWER(TRIM($E364)),"Match","Mismatch"))</f>
        <v/>
      </c>
      <c r="J364" s="6"/>
    </row>
    <row r="365" customFormat="false" ht="15" hidden="false" customHeight="false" outlineLevel="0" collapsed="false">
      <c r="A365" s="5" t="s">
        <v>25</v>
      </c>
      <c r="B365" s="5" t="s">
        <v>231</v>
      </c>
      <c r="C365" s="5" t="s">
        <v>67</v>
      </c>
      <c r="D365" s="6" t="s">
        <v>68</v>
      </c>
      <c r="E365" s="5" t="s">
        <v>236</v>
      </c>
      <c r="F365" s="5" t="s">
        <v>237</v>
      </c>
      <c r="G365" s="7"/>
      <c r="H365" s="5" t="str">
        <f aca="false">IF($G365="","",IF(LOWER(TRIM($G365))=LOWER(TRIM($F365)),"Match","Mismatch"))</f>
        <v/>
      </c>
      <c r="I365" s="5" t="str">
        <f aca="false">IF($G365="","",IF(LOWER(TRIM($G365))=LOWER(TRIM($E365)),"Match","Mismatch"))</f>
        <v/>
      </c>
      <c r="J365" s="6"/>
    </row>
    <row r="366" customFormat="false" ht="15" hidden="false" customHeight="false" outlineLevel="0" collapsed="false">
      <c r="A366" s="5" t="s">
        <v>25</v>
      </c>
      <c r="B366" s="5" t="s">
        <v>231</v>
      </c>
      <c r="C366" s="5" t="s">
        <v>70</v>
      </c>
      <c r="D366" s="6" t="s">
        <v>71</v>
      </c>
      <c r="E366" s="5"/>
      <c r="F366" s="5" t="s">
        <v>238</v>
      </c>
      <c r="G366" s="7"/>
      <c r="H366" s="5" t="str">
        <f aca="false">IF($G366="","",IF(LOWER(TRIM($G366))=LOWER(TRIM($F366)),"Match","Mismatch"))</f>
        <v/>
      </c>
      <c r="I366" s="5" t="str">
        <f aca="false">IF($G366="","",IF(LOWER(TRIM($G366))=LOWER(TRIM($E366)),"Match","Mismatch"))</f>
        <v/>
      </c>
      <c r="J366" s="6"/>
    </row>
    <row r="367" customFormat="false" ht="15" hidden="false" customHeight="false" outlineLevel="0" collapsed="false">
      <c r="A367" s="5" t="s">
        <v>25</v>
      </c>
      <c r="B367" s="5" t="s">
        <v>231</v>
      </c>
      <c r="C367" s="5" t="s">
        <v>70</v>
      </c>
      <c r="D367" s="6" t="s">
        <v>73</v>
      </c>
      <c r="E367" s="5"/>
      <c r="F367" s="5" t="s">
        <v>239</v>
      </c>
      <c r="G367" s="7"/>
      <c r="H367" s="5" t="str">
        <f aca="false">IF($G367="","",IF(LOWER(TRIM($G367))=LOWER(TRIM($F367)),"Match","Mismatch"))</f>
        <v/>
      </c>
      <c r="I367" s="5" t="str">
        <f aca="false">IF($G367="","",IF(LOWER(TRIM($G367))=LOWER(TRIM($E367)),"Match","Mismatch"))</f>
        <v/>
      </c>
      <c r="J367" s="6"/>
    </row>
    <row r="368" customFormat="false" ht="15" hidden="false" customHeight="false" outlineLevel="0" collapsed="false">
      <c r="A368" s="5" t="s">
        <v>25</v>
      </c>
      <c r="B368" s="5" t="s">
        <v>231</v>
      </c>
      <c r="C368" s="5" t="s">
        <v>70</v>
      </c>
      <c r="D368" s="6" t="s">
        <v>75</v>
      </c>
      <c r="E368" s="5"/>
      <c r="F368" s="5" t="s">
        <v>240</v>
      </c>
      <c r="G368" s="7"/>
      <c r="H368" s="5" t="str">
        <f aca="false">IF($G368="","",IF(LOWER(TRIM($G368))=LOWER(TRIM($F368)),"Match","Mismatch"))</f>
        <v/>
      </c>
      <c r="I368" s="5" t="str">
        <f aca="false">IF($G368="","",IF(LOWER(TRIM($G368))=LOWER(TRIM($E368)),"Match","Mismatch"))</f>
        <v/>
      </c>
      <c r="J368" s="6"/>
    </row>
    <row r="369" customFormat="false" ht="15" hidden="false" customHeight="false" outlineLevel="0" collapsed="false">
      <c r="A369" s="5" t="s">
        <v>25</v>
      </c>
      <c r="B369" s="5" t="s">
        <v>231</v>
      </c>
      <c r="C369" s="5" t="s">
        <v>70</v>
      </c>
      <c r="D369" s="6" t="s">
        <v>77</v>
      </c>
      <c r="E369" s="5"/>
      <c r="F369" s="5" t="s">
        <v>241</v>
      </c>
      <c r="G369" s="7"/>
      <c r="H369" s="5" t="str">
        <f aca="false">IF($G369="","",IF(LOWER(TRIM($G369))=LOWER(TRIM($F369)),"Match","Mismatch"))</f>
        <v/>
      </c>
      <c r="I369" s="5" t="str">
        <f aca="false">IF($G369="","",IF(LOWER(TRIM($G369))=LOWER(TRIM($E369)),"Match","Mismatch"))</f>
        <v/>
      </c>
      <c r="J369" s="6"/>
    </row>
    <row r="370" customFormat="false" ht="15" hidden="false" customHeight="false" outlineLevel="0" collapsed="false">
      <c r="A370" s="5" t="s">
        <v>25</v>
      </c>
      <c r="B370" s="5" t="s">
        <v>231</v>
      </c>
      <c r="C370" s="5" t="s">
        <v>70</v>
      </c>
      <c r="D370" s="6" t="s">
        <v>80</v>
      </c>
      <c r="E370" s="5"/>
      <c r="F370" s="5" t="s">
        <v>242</v>
      </c>
      <c r="G370" s="7"/>
      <c r="H370" s="5" t="str">
        <f aca="false">IF($G370="","",IF(LOWER(TRIM($G370))=LOWER(TRIM($F370)),"Match","Mismatch"))</f>
        <v/>
      </c>
      <c r="I370" s="5" t="str">
        <f aca="false">IF($G370="","",IF(LOWER(TRIM($G370))=LOWER(TRIM($E370)),"Match","Mismatch"))</f>
        <v/>
      </c>
      <c r="J370" s="6"/>
    </row>
    <row r="371" customFormat="false" ht="15" hidden="false" customHeight="false" outlineLevel="0" collapsed="false">
      <c r="A371" s="5" t="s">
        <v>25</v>
      </c>
      <c r="B371" s="5" t="s">
        <v>231</v>
      </c>
      <c r="C371" s="5" t="s">
        <v>70</v>
      </c>
      <c r="D371" s="6" t="s">
        <v>82</v>
      </c>
      <c r="E371" s="5"/>
      <c r="F371" s="5" t="s">
        <v>243</v>
      </c>
      <c r="G371" s="7"/>
      <c r="H371" s="5" t="str">
        <f aca="false">IF($G371="","",IF(LOWER(TRIM($G371))=LOWER(TRIM($F371)),"Match","Mismatch"))</f>
        <v/>
      </c>
      <c r="I371" s="5" t="str">
        <f aca="false">IF($G371="","",IF(LOWER(TRIM($G371))=LOWER(TRIM($E371)),"Match","Mismatch"))</f>
        <v/>
      </c>
      <c r="J371" s="6"/>
    </row>
    <row r="372" customFormat="false" ht="15" hidden="false" customHeight="false" outlineLevel="0" collapsed="false">
      <c r="A372" s="5" t="s">
        <v>25</v>
      </c>
      <c r="B372" s="5" t="s">
        <v>231</v>
      </c>
      <c r="C372" s="5" t="s">
        <v>70</v>
      </c>
      <c r="D372" s="6" t="s">
        <v>84</v>
      </c>
      <c r="E372" s="5"/>
      <c r="F372" s="5" t="s">
        <v>101</v>
      </c>
      <c r="G372" s="7"/>
      <c r="H372" s="5" t="str">
        <f aca="false">IF($G372="","",IF(LOWER(TRIM($G372))=LOWER(TRIM($F372)),"Match","Mismatch"))</f>
        <v/>
      </c>
      <c r="I372" s="5" t="str">
        <f aca="false">IF($G372="","",IF(LOWER(TRIM($G372))=LOWER(TRIM($E372)),"Match","Mismatch"))</f>
        <v/>
      </c>
      <c r="J372" s="6"/>
    </row>
    <row r="373" customFormat="false" ht="15" hidden="false" customHeight="false" outlineLevel="0" collapsed="false">
      <c r="A373" s="5" t="s">
        <v>25</v>
      </c>
      <c r="B373" s="5" t="s">
        <v>231</v>
      </c>
      <c r="C373" s="5" t="s">
        <v>70</v>
      </c>
      <c r="D373" s="6" t="s">
        <v>86</v>
      </c>
      <c r="E373" s="5"/>
      <c r="F373" s="5" t="s">
        <v>244</v>
      </c>
      <c r="G373" s="7"/>
      <c r="H373" s="5" t="str">
        <f aca="false">IF($G373="","",IF(LOWER(TRIM($G373))=LOWER(TRIM($F373)),"Match","Mismatch"))</f>
        <v/>
      </c>
      <c r="I373" s="5" t="str">
        <f aca="false">IF($G373="","",IF(LOWER(TRIM($G373))=LOWER(TRIM($E373)),"Match","Mismatch"))</f>
        <v/>
      </c>
      <c r="J373" s="6"/>
    </row>
    <row r="374" customFormat="false" ht="23.85" hidden="false" customHeight="false" outlineLevel="0" collapsed="false">
      <c r="A374" s="5" t="s">
        <v>25</v>
      </c>
      <c r="B374" s="5" t="s">
        <v>245</v>
      </c>
      <c r="C374" s="5" t="s">
        <v>27</v>
      </c>
      <c r="D374" s="6" t="s">
        <v>28</v>
      </c>
      <c r="E374" s="5" t="s">
        <v>31</v>
      </c>
      <c r="F374" s="5" t="s">
        <v>29</v>
      </c>
      <c r="G374" s="7"/>
      <c r="H374" s="5" t="str">
        <f aca="false">IF($G374="","",IF(LOWER(TRIM($G374))=LOWER(TRIM($F374)),"Match","Mismatch"))</f>
        <v/>
      </c>
      <c r="I374" s="5" t="str">
        <f aca="false">IF($G374="","",IF(LOWER(TRIM($G374))=LOWER(TRIM($E374)),"Match","Mismatch"))</f>
        <v/>
      </c>
      <c r="J374" s="6"/>
    </row>
    <row r="375" customFormat="false" ht="23.85" hidden="false" customHeight="false" outlineLevel="0" collapsed="false">
      <c r="A375" s="5" t="s">
        <v>25</v>
      </c>
      <c r="B375" s="5" t="s">
        <v>245</v>
      </c>
      <c r="C375" s="5" t="s">
        <v>27</v>
      </c>
      <c r="D375" s="6" t="s">
        <v>34</v>
      </c>
      <c r="E375" s="5" t="s">
        <v>31</v>
      </c>
      <c r="F375" s="5" t="s">
        <v>29</v>
      </c>
      <c r="G375" s="7"/>
      <c r="H375" s="5" t="str">
        <f aca="false">IF($G375="","",IF(LOWER(TRIM($G375))=LOWER(TRIM($F375)),"Match","Mismatch"))</f>
        <v/>
      </c>
      <c r="I375" s="5" t="str">
        <f aca="false">IF($G375="","",IF(LOWER(TRIM($G375))=LOWER(TRIM($E375)),"Match","Mismatch"))</f>
        <v/>
      </c>
      <c r="J375" s="6"/>
    </row>
    <row r="376" customFormat="false" ht="15" hidden="false" customHeight="false" outlineLevel="0" collapsed="false">
      <c r="A376" s="5" t="s">
        <v>25</v>
      </c>
      <c r="B376" s="5" t="s">
        <v>245</v>
      </c>
      <c r="C376" s="5" t="s">
        <v>27</v>
      </c>
      <c r="D376" s="6" t="s">
        <v>35</v>
      </c>
      <c r="E376" s="5" t="s">
        <v>246</v>
      </c>
      <c r="F376" s="5" t="s">
        <v>247</v>
      </c>
      <c r="G376" s="7"/>
      <c r="H376" s="5" t="str">
        <f aca="false">IF($G376="","",IF(LOWER(TRIM($G376))=LOWER(TRIM($F376)),"Match","Mismatch"))</f>
        <v/>
      </c>
      <c r="I376" s="5" t="str">
        <f aca="false">IF($G376="","",IF(LOWER(TRIM($G376))=LOWER(TRIM($E376)),"Match","Mismatch"))</f>
        <v/>
      </c>
      <c r="J376" s="6"/>
    </row>
    <row r="377" customFormat="false" ht="23.85" hidden="false" customHeight="false" outlineLevel="0" collapsed="false">
      <c r="A377" s="5" t="s">
        <v>25</v>
      </c>
      <c r="B377" s="5" t="s">
        <v>245</v>
      </c>
      <c r="C377" s="5" t="s">
        <v>27</v>
      </c>
      <c r="D377" s="6" t="s">
        <v>38</v>
      </c>
      <c r="E377" s="5" t="s">
        <v>31</v>
      </c>
      <c r="F377" s="5" t="s">
        <v>29</v>
      </c>
      <c r="G377" s="7"/>
      <c r="H377" s="5" t="str">
        <f aca="false">IF($G377="","",IF(LOWER(TRIM($G377))=LOWER(TRIM($F377)),"Match","Mismatch"))</f>
        <v/>
      </c>
      <c r="I377" s="5" t="str">
        <f aca="false">IF($G377="","",IF(LOWER(TRIM($G377))=LOWER(TRIM($E377)),"Match","Mismatch"))</f>
        <v/>
      </c>
      <c r="J377" s="6"/>
    </row>
    <row r="378" customFormat="false" ht="15" hidden="false" customHeight="false" outlineLevel="0" collapsed="false">
      <c r="A378" s="5" t="s">
        <v>25</v>
      </c>
      <c r="B378" s="5" t="s">
        <v>245</v>
      </c>
      <c r="C378" s="5" t="s">
        <v>39</v>
      </c>
      <c r="D378" s="6" t="s">
        <v>40</v>
      </c>
      <c r="E378" s="5"/>
      <c r="F378" s="5" t="s">
        <v>43</v>
      </c>
      <c r="G378" s="7"/>
      <c r="H378" s="5" t="str">
        <f aca="false">IF($G378="","",IF(LOWER(TRIM($G378))=LOWER(TRIM($F378)),"Match","Mismatch"))</f>
        <v/>
      </c>
      <c r="I378" s="5" t="str">
        <f aca="false">IF($G378="","",IF(LOWER(TRIM($G378))=LOWER(TRIM($E378)),"Match","Mismatch"))</f>
        <v/>
      </c>
      <c r="J378" s="6"/>
    </row>
    <row r="379" customFormat="false" ht="23.85" hidden="false" customHeight="false" outlineLevel="0" collapsed="false">
      <c r="A379" s="5" t="s">
        <v>25</v>
      </c>
      <c r="B379" s="5" t="s">
        <v>245</v>
      </c>
      <c r="C379" s="5" t="s">
        <v>39</v>
      </c>
      <c r="D379" s="6" t="s">
        <v>42</v>
      </c>
      <c r="E379" s="5"/>
      <c r="F379" s="5" t="s">
        <v>43</v>
      </c>
      <c r="G379" s="7"/>
      <c r="H379" s="5" t="str">
        <f aca="false">IF($G379="","",IF(LOWER(TRIM($G379))=LOWER(TRIM($F379)),"Match","Mismatch"))</f>
        <v/>
      </c>
      <c r="I379" s="5" t="str">
        <f aca="false">IF($G379="","",IF(LOWER(TRIM($G379))=LOWER(TRIM($E379)),"Match","Mismatch"))</f>
        <v/>
      </c>
      <c r="J379" s="6"/>
    </row>
    <row r="380" customFormat="false" ht="23.85" hidden="false" customHeight="false" outlineLevel="0" collapsed="false">
      <c r="A380" s="5" t="s">
        <v>25</v>
      </c>
      <c r="B380" s="5" t="s">
        <v>245</v>
      </c>
      <c r="C380" s="5" t="s">
        <v>39</v>
      </c>
      <c r="D380" s="6" t="s">
        <v>44</v>
      </c>
      <c r="E380" s="5"/>
      <c r="F380" s="5" t="s">
        <v>43</v>
      </c>
      <c r="G380" s="7"/>
      <c r="H380" s="5" t="str">
        <f aca="false">IF($G380="","",IF(LOWER(TRIM($G380))=LOWER(TRIM($F380)),"Match","Mismatch"))</f>
        <v/>
      </c>
      <c r="I380" s="5" t="str">
        <f aca="false">IF($G380="","",IF(LOWER(TRIM($G380))=LOWER(TRIM($E380)),"Match","Mismatch"))</f>
        <v/>
      </c>
      <c r="J380" s="6"/>
    </row>
    <row r="381" customFormat="false" ht="15" hidden="false" customHeight="false" outlineLevel="0" collapsed="false">
      <c r="A381" s="5" t="s">
        <v>25</v>
      </c>
      <c r="B381" s="5" t="s">
        <v>245</v>
      </c>
      <c r="C381" s="5" t="s">
        <v>39</v>
      </c>
      <c r="D381" s="6" t="s">
        <v>45</v>
      </c>
      <c r="E381" s="5"/>
      <c r="F381" s="5" t="s">
        <v>41</v>
      </c>
      <c r="G381" s="7"/>
      <c r="H381" s="5" t="str">
        <f aca="false">IF($G381="","",IF(LOWER(TRIM($G381))=LOWER(TRIM($F381)),"Match","Mismatch"))</f>
        <v/>
      </c>
      <c r="I381" s="5" t="str">
        <f aca="false">IF($G381="","",IF(LOWER(TRIM($G381))=LOWER(TRIM($E381)),"Match","Mismatch"))</f>
        <v/>
      </c>
      <c r="J381" s="6"/>
    </row>
    <row r="382" customFormat="false" ht="15" hidden="false" customHeight="false" outlineLevel="0" collapsed="false">
      <c r="A382" s="5" t="s">
        <v>25</v>
      </c>
      <c r="B382" s="5" t="s">
        <v>245</v>
      </c>
      <c r="C382" s="5" t="s">
        <v>39</v>
      </c>
      <c r="D382" s="6" t="s">
        <v>47</v>
      </c>
      <c r="E382" s="5"/>
      <c r="F382" s="5" t="s">
        <v>43</v>
      </c>
      <c r="G382" s="7"/>
      <c r="H382" s="5" t="str">
        <f aca="false">IF($G382="","",IF(LOWER(TRIM($G382))=LOWER(TRIM($F382)),"Match","Mismatch"))</f>
        <v/>
      </c>
      <c r="I382" s="5" t="str">
        <f aca="false">IF($G382="","",IF(LOWER(TRIM($G382))=LOWER(TRIM($E382)),"Match","Mismatch"))</f>
        <v/>
      </c>
      <c r="J382" s="6"/>
    </row>
    <row r="383" customFormat="false" ht="15" hidden="false" customHeight="false" outlineLevel="0" collapsed="false">
      <c r="A383" s="5" t="s">
        <v>25</v>
      </c>
      <c r="B383" s="5" t="s">
        <v>245</v>
      </c>
      <c r="C383" s="5" t="s">
        <v>39</v>
      </c>
      <c r="D383" s="6" t="s">
        <v>48</v>
      </c>
      <c r="E383" s="5"/>
      <c r="F383" s="5" t="s">
        <v>46</v>
      </c>
      <c r="G383" s="7"/>
      <c r="H383" s="5" t="str">
        <f aca="false">IF($G383="","",IF(LOWER(TRIM($G383))=LOWER(TRIM($F383)),"Match","Mismatch"))</f>
        <v/>
      </c>
      <c r="I383" s="5" t="str">
        <f aca="false">IF($G383="","",IF(LOWER(TRIM($G383))=LOWER(TRIM($E383)),"Match","Mismatch"))</f>
        <v/>
      </c>
      <c r="J383" s="6"/>
    </row>
    <row r="384" customFormat="false" ht="15" hidden="false" customHeight="false" outlineLevel="0" collapsed="false">
      <c r="A384" s="5" t="s">
        <v>25</v>
      </c>
      <c r="B384" s="5" t="s">
        <v>245</v>
      </c>
      <c r="C384" s="5" t="s">
        <v>39</v>
      </c>
      <c r="D384" s="6" t="s">
        <v>49</v>
      </c>
      <c r="E384" s="5"/>
      <c r="F384" s="5" t="s">
        <v>46</v>
      </c>
      <c r="G384" s="7"/>
      <c r="H384" s="5" t="str">
        <f aca="false">IF($G384="","",IF(LOWER(TRIM($G384))=LOWER(TRIM($F384)),"Match","Mismatch"))</f>
        <v/>
      </c>
      <c r="I384" s="5" t="str">
        <f aca="false">IF($G384="","",IF(LOWER(TRIM($G384))=LOWER(TRIM($E384)),"Match","Mismatch"))</f>
        <v/>
      </c>
      <c r="J384" s="6"/>
    </row>
    <row r="385" customFormat="false" ht="23.85" hidden="false" customHeight="false" outlineLevel="0" collapsed="false">
      <c r="A385" s="5" t="s">
        <v>25</v>
      </c>
      <c r="B385" s="5" t="s">
        <v>245</v>
      </c>
      <c r="C385" s="5" t="s">
        <v>39</v>
      </c>
      <c r="D385" s="6" t="s">
        <v>50</v>
      </c>
      <c r="E385" s="5"/>
      <c r="F385" s="5" t="s">
        <v>43</v>
      </c>
      <c r="G385" s="7"/>
      <c r="H385" s="5" t="str">
        <f aca="false">IF($G385="","",IF(LOWER(TRIM($G385))=LOWER(TRIM($F385)),"Match","Mismatch"))</f>
        <v/>
      </c>
      <c r="I385" s="5" t="str">
        <f aca="false">IF($G385="","",IF(LOWER(TRIM($G385))=LOWER(TRIM($E385)),"Match","Mismatch"))</f>
        <v/>
      </c>
      <c r="J385" s="6"/>
    </row>
    <row r="386" customFormat="false" ht="15" hidden="false" customHeight="false" outlineLevel="0" collapsed="false">
      <c r="A386" s="5" t="s">
        <v>25</v>
      </c>
      <c r="B386" s="5" t="s">
        <v>245</v>
      </c>
      <c r="C386" s="5" t="s">
        <v>39</v>
      </c>
      <c r="D386" s="6" t="s">
        <v>51</v>
      </c>
      <c r="E386" s="5"/>
      <c r="F386" s="5" t="s">
        <v>41</v>
      </c>
      <c r="G386" s="7"/>
      <c r="H386" s="5" t="str">
        <f aca="false">IF($G386="","",IF(LOWER(TRIM($G386))=LOWER(TRIM($F386)),"Match","Mismatch"))</f>
        <v/>
      </c>
      <c r="I386" s="5" t="str">
        <f aca="false">IF($G386="","",IF(LOWER(TRIM($G386))=LOWER(TRIM($E386)),"Match","Mismatch"))</f>
        <v/>
      </c>
      <c r="J386" s="6"/>
    </row>
    <row r="387" customFormat="false" ht="15" hidden="false" customHeight="false" outlineLevel="0" collapsed="false">
      <c r="A387" s="5" t="s">
        <v>25</v>
      </c>
      <c r="B387" s="5" t="s">
        <v>245</v>
      </c>
      <c r="C387" s="5" t="s">
        <v>39</v>
      </c>
      <c r="D387" s="6" t="s">
        <v>52</v>
      </c>
      <c r="E387" s="5"/>
      <c r="F387" s="5" t="s">
        <v>41</v>
      </c>
      <c r="G387" s="7"/>
      <c r="H387" s="5" t="str">
        <f aca="false">IF($G387="","",IF(LOWER(TRIM($G387))=LOWER(TRIM($F387)),"Match","Mismatch"))</f>
        <v/>
      </c>
      <c r="I387" s="5" t="str">
        <f aca="false">IF($G387="","",IF(LOWER(TRIM($G387))=LOWER(TRIM($E387)),"Match","Mismatch"))</f>
        <v/>
      </c>
      <c r="J387" s="6"/>
    </row>
    <row r="388" customFormat="false" ht="15" hidden="false" customHeight="false" outlineLevel="0" collapsed="false">
      <c r="A388" s="5" t="s">
        <v>25</v>
      </c>
      <c r="B388" s="5" t="s">
        <v>245</v>
      </c>
      <c r="C388" s="5" t="s">
        <v>39</v>
      </c>
      <c r="D388" s="6" t="s">
        <v>53</v>
      </c>
      <c r="E388" s="5"/>
      <c r="F388" s="5" t="s">
        <v>41</v>
      </c>
      <c r="G388" s="7"/>
      <c r="H388" s="5" t="str">
        <f aca="false">IF($G388="","",IF(LOWER(TRIM($G388))=LOWER(TRIM($F388)),"Match","Mismatch"))</f>
        <v/>
      </c>
      <c r="I388" s="5" t="str">
        <f aca="false">IF($G388="","",IF(LOWER(TRIM($G388))=LOWER(TRIM($E388)),"Match","Mismatch"))</f>
        <v/>
      </c>
      <c r="J388" s="6"/>
    </row>
    <row r="389" customFormat="false" ht="15" hidden="false" customHeight="false" outlineLevel="0" collapsed="false">
      <c r="A389" s="5" t="s">
        <v>25</v>
      </c>
      <c r="B389" s="5" t="s">
        <v>245</v>
      </c>
      <c r="C389" s="5" t="s">
        <v>39</v>
      </c>
      <c r="D389" s="6" t="s">
        <v>54</v>
      </c>
      <c r="E389" s="5"/>
      <c r="F389" s="5" t="s">
        <v>46</v>
      </c>
      <c r="G389" s="7"/>
      <c r="H389" s="5" t="str">
        <f aca="false">IF($G389="","",IF(LOWER(TRIM($G389))=LOWER(TRIM($F389)),"Match","Mismatch"))</f>
        <v/>
      </c>
      <c r="I389" s="5" t="str">
        <f aca="false">IF($G389="","",IF(LOWER(TRIM($G389))=LOWER(TRIM($E389)),"Match","Mismatch"))</f>
        <v/>
      </c>
      <c r="J389" s="6"/>
    </row>
    <row r="390" customFormat="false" ht="23.85" hidden="false" customHeight="false" outlineLevel="0" collapsed="false">
      <c r="A390" s="5" t="s">
        <v>25</v>
      </c>
      <c r="B390" s="5" t="s">
        <v>245</v>
      </c>
      <c r="C390" s="5" t="s">
        <v>39</v>
      </c>
      <c r="D390" s="6" t="s">
        <v>56</v>
      </c>
      <c r="E390" s="5"/>
      <c r="F390" s="5" t="s">
        <v>43</v>
      </c>
      <c r="G390" s="7"/>
      <c r="H390" s="5" t="str">
        <f aca="false">IF($G390="","",IF(LOWER(TRIM($G390))=LOWER(TRIM($F390)),"Match","Mismatch"))</f>
        <v/>
      </c>
      <c r="I390" s="5" t="str">
        <f aca="false">IF($G390="","",IF(LOWER(TRIM($G390))=LOWER(TRIM($E390)),"Match","Mismatch"))</f>
        <v/>
      </c>
      <c r="J390" s="6"/>
    </row>
    <row r="391" customFormat="false" ht="15" hidden="false" customHeight="false" outlineLevel="0" collapsed="false">
      <c r="A391" s="5" t="s">
        <v>25</v>
      </c>
      <c r="B391" s="5" t="s">
        <v>245</v>
      </c>
      <c r="C391" s="5" t="s">
        <v>39</v>
      </c>
      <c r="D391" s="6" t="s">
        <v>57</v>
      </c>
      <c r="E391" s="5"/>
      <c r="F391" s="5" t="s">
        <v>43</v>
      </c>
      <c r="G391" s="7"/>
      <c r="H391" s="5" t="str">
        <f aca="false">IF($G391="","",IF(LOWER(TRIM($G391))=LOWER(TRIM($F391)),"Match","Mismatch"))</f>
        <v/>
      </c>
      <c r="I391" s="5" t="str">
        <f aca="false">IF($G391="","",IF(LOWER(TRIM($G391))=LOWER(TRIM($E391)),"Match","Mismatch"))</f>
        <v/>
      </c>
      <c r="J391" s="6"/>
    </row>
    <row r="392" customFormat="false" ht="15" hidden="false" customHeight="false" outlineLevel="0" collapsed="false">
      <c r="A392" s="5" t="s">
        <v>25</v>
      </c>
      <c r="B392" s="5" t="s">
        <v>245</v>
      </c>
      <c r="C392" s="5" t="s">
        <v>39</v>
      </c>
      <c r="D392" s="6" t="s">
        <v>58</v>
      </c>
      <c r="E392" s="5"/>
      <c r="F392" s="5" t="s">
        <v>41</v>
      </c>
      <c r="G392" s="7"/>
      <c r="H392" s="5" t="str">
        <f aca="false">IF($G392="","",IF(LOWER(TRIM($G392))=LOWER(TRIM($F392)),"Match","Mismatch"))</f>
        <v/>
      </c>
      <c r="I392" s="5" t="str">
        <f aca="false">IF($G392="","",IF(LOWER(TRIM($G392))=LOWER(TRIM($E392)),"Match","Mismatch"))</f>
        <v/>
      </c>
      <c r="J392" s="6"/>
    </row>
    <row r="393" customFormat="false" ht="15" hidden="false" customHeight="false" outlineLevel="0" collapsed="false">
      <c r="A393" s="5" t="s">
        <v>25</v>
      </c>
      <c r="B393" s="5" t="s">
        <v>245</v>
      </c>
      <c r="C393" s="5" t="s">
        <v>59</v>
      </c>
      <c r="D393" s="6" t="s">
        <v>60</v>
      </c>
      <c r="E393" s="5" t="s">
        <v>31</v>
      </c>
      <c r="F393" s="5" t="s">
        <v>29</v>
      </c>
      <c r="G393" s="7"/>
      <c r="H393" s="5" t="str">
        <f aca="false">IF($G393="","",IF(LOWER(TRIM($G393))=LOWER(TRIM($F393)),"Match","Mismatch"))</f>
        <v/>
      </c>
      <c r="I393" s="5" t="str">
        <f aca="false">IF($G393="","",IF(LOWER(TRIM($G393))=LOWER(TRIM($E393)),"Match","Mismatch"))</f>
        <v/>
      </c>
      <c r="J393" s="6"/>
    </row>
    <row r="394" customFormat="false" ht="15" hidden="false" customHeight="false" outlineLevel="0" collapsed="false">
      <c r="A394" s="5" t="s">
        <v>25</v>
      </c>
      <c r="B394" s="5" t="s">
        <v>245</v>
      </c>
      <c r="C394" s="5" t="s">
        <v>59</v>
      </c>
      <c r="D394" s="6" t="s">
        <v>63</v>
      </c>
      <c r="E394" s="5" t="s">
        <v>248</v>
      </c>
      <c r="F394" s="5" t="s">
        <v>249</v>
      </c>
      <c r="G394" s="7"/>
      <c r="H394" s="5" t="str">
        <f aca="false">IF($G394="","",IF(LOWER(TRIM($G394))=LOWER(TRIM($F394)),"Match","Mismatch"))</f>
        <v/>
      </c>
      <c r="I394" s="5" t="str">
        <f aca="false">IF($G394="","",IF(LOWER(TRIM($G394))=LOWER(TRIM($E394)),"Match","Mismatch"))</f>
        <v/>
      </c>
      <c r="J394" s="6"/>
    </row>
    <row r="395" customFormat="false" ht="15" hidden="false" customHeight="false" outlineLevel="0" collapsed="false">
      <c r="A395" s="5" t="s">
        <v>25</v>
      </c>
      <c r="B395" s="5" t="s">
        <v>245</v>
      </c>
      <c r="C395" s="5" t="s">
        <v>70</v>
      </c>
      <c r="D395" s="6" t="s">
        <v>71</v>
      </c>
      <c r="E395" s="5" t="s">
        <v>250</v>
      </c>
      <c r="F395" s="5" t="s">
        <v>251</v>
      </c>
      <c r="G395" s="7"/>
      <c r="H395" s="5" t="str">
        <f aca="false">IF($G395="","",IF(LOWER(TRIM($G395))=LOWER(TRIM($F395)),"Match","Mismatch"))</f>
        <v/>
      </c>
      <c r="I395" s="5" t="str">
        <f aca="false">IF($G395="","",IF(LOWER(TRIM($G395))=LOWER(TRIM($E395)),"Match","Mismatch"))</f>
        <v/>
      </c>
      <c r="J395" s="6"/>
    </row>
    <row r="396" customFormat="false" ht="15" hidden="false" customHeight="false" outlineLevel="0" collapsed="false">
      <c r="A396" s="5" t="s">
        <v>25</v>
      </c>
      <c r="B396" s="5" t="s">
        <v>245</v>
      </c>
      <c r="C396" s="5" t="s">
        <v>70</v>
      </c>
      <c r="D396" s="6" t="s">
        <v>73</v>
      </c>
      <c r="E396" s="5" t="s">
        <v>252</v>
      </c>
      <c r="F396" s="5" t="s">
        <v>253</v>
      </c>
      <c r="G396" s="7"/>
      <c r="H396" s="5" t="str">
        <f aca="false">IF($G396="","",IF(LOWER(TRIM($G396))=LOWER(TRIM($F396)),"Match","Mismatch"))</f>
        <v/>
      </c>
      <c r="I396" s="5" t="str">
        <f aca="false">IF($G396="","",IF(LOWER(TRIM($G396))=LOWER(TRIM($E396)),"Match","Mismatch"))</f>
        <v/>
      </c>
      <c r="J396" s="6"/>
    </row>
    <row r="397" customFormat="false" ht="15" hidden="false" customHeight="false" outlineLevel="0" collapsed="false">
      <c r="A397" s="5" t="s">
        <v>25</v>
      </c>
      <c r="B397" s="5" t="s">
        <v>245</v>
      </c>
      <c r="C397" s="5" t="s">
        <v>70</v>
      </c>
      <c r="D397" s="6" t="s">
        <v>75</v>
      </c>
      <c r="E397" s="5" t="s">
        <v>254</v>
      </c>
      <c r="F397" s="5" t="s">
        <v>255</v>
      </c>
      <c r="G397" s="7"/>
      <c r="H397" s="5" t="str">
        <f aca="false">IF($G397="","",IF(LOWER(TRIM($G397))=LOWER(TRIM($F397)),"Match","Mismatch"))</f>
        <v/>
      </c>
      <c r="I397" s="5" t="str">
        <f aca="false">IF($G397="","",IF(LOWER(TRIM($G397))=LOWER(TRIM($E397)),"Match","Mismatch"))</f>
        <v/>
      </c>
      <c r="J397" s="6"/>
    </row>
    <row r="398" customFormat="false" ht="15" hidden="false" customHeight="false" outlineLevel="0" collapsed="false">
      <c r="A398" s="5" t="s">
        <v>25</v>
      </c>
      <c r="B398" s="5" t="s">
        <v>245</v>
      </c>
      <c r="C398" s="5" t="s">
        <v>70</v>
      </c>
      <c r="D398" s="6" t="s">
        <v>77</v>
      </c>
      <c r="E398" s="5" t="s">
        <v>256</v>
      </c>
      <c r="F398" s="5" t="s">
        <v>257</v>
      </c>
      <c r="G398" s="7"/>
      <c r="H398" s="5" t="str">
        <f aca="false">IF($G398="","",IF(LOWER(TRIM($G398))=LOWER(TRIM($F398)),"Match","Mismatch"))</f>
        <v/>
      </c>
      <c r="I398" s="5" t="str">
        <f aca="false">IF($G398="","",IF(LOWER(TRIM($G398))=LOWER(TRIM($E398)),"Match","Mismatch"))</f>
        <v/>
      </c>
      <c r="J398" s="6"/>
    </row>
    <row r="399" customFormat="false" ht="15" hidden="false" customHeight="false" outlineLevel="0" collapsed="false">
      <c r="A399" s="5" t="s">
        <v>25</v>
      </c>
      <c r="B399" s="5" t="s">
        <v>245</v>
      </c>
      <c r="C399" s="5" t="s">
        <v>70</v>
      </c>
      <c r="D399" s="6" t="s">
        <v>80</v>
      </c>
      <c r="E399" s="5" t="s">
        <v>258</v>
      </c>
      <c r="F399" s="5" t="s">
        <v>259</v>
      </c>
      <c r="G399" s="7"/>
      <c r="H399" s="5" t="str">
        <f aca="false">IF($G399="","",IF(LOWER(TRIM($G399))=LOWER(TRIM($F399)),"Match","Mismatch"))</f>
        <v/>
      </c>
      <c r="I399" s="5" t="str">
        <f aca="false">IF($G399="","",IF(LOWER(TRIM($G399))=LOWER(TRIM($E399)),"Match","Mismatch"))</f>
        <v/>
      </c>
      <c r="J399" s="6"/>
    </row>
    <row r="400" customFormat="false" ht="15" hidden="false" customHeight="false" outlineLevel="0" collapsed="false">
      <c r="A400" s="5" t="s">
        <v>25</v>
      </c>
      <c r="B400" s="5" t="s">
        <v>245</v>
      </c>
      <c r="C400" s="5" t="s">
        <v>70</v>
      </c>
      <c r="D400" s="6" t="s">
        <v>82</v>
      </c>
      <c r="E400" s="5"/>
      <c r="F400" s="5" t="s">
        <v>260</v>
      </c>
      <c r="G400" s="7"/>
      <c r="H400" s="5" t="str">
        <f aca="false">IF($G400="","",IF(LOWER(TRIM($G400))=LOWER(TRIM($F400)),"Match","Mismatch"))</f>
        <v/>
      </c>
      <c r="I400" s="5" t="str">
        <f aca="false">IF($G400="","",IF(LOWER(TRIM($G400))=LOWER(TRIM($E400)),"Match","Mismatch"))</f>
        <v/>
      </c>
      <c r="J400" s="6"/>
    </row>
    <row r="401" customFormat="false" ht="15" hidden="false" customHeight="false" outlineLevel="0" collapsed="false">
      <c r="A401" s="5" t="s">
        <v>25</v>
      </c>
      <c r="B401" s="5" t="s">
        <v>245</v>
      </c>
      <c r="C401" s="5" t="s">
        <v>70</v>
      </c>
      <c r="D401" s="6" t="s">
        <v>84</v>
      </c>
      <c r="E401" s="5"/>
      <c r="F401" s="5" t="s">
        <v>261</v>
      </c>
      <c r="G401" s="7"/>
      <c r="H401" s="5" t="str">
        <f aca="false">IF($G401="","",IF(LOWER(TRIM($G401))=LOWER(TRIM($F401)),"Match","Mismatch"))</f>
        <v/>
      </c>
      <c r="I401" s="5" t="str">
        <f aca="false">IF($G401="","",IF(LOWER(TRIM($G401))=LOWER(TRIM($E401)),"Match","Mismatch"))</f>
        <v/>
      </c>
      <c r="J401" s="6"/>
    </row>
    <row r="402" customFormat="false" ht="15" hidden="false" customHeight="false" outlineLevel="0" collapsed="false">
      <c r="A402" s="5" t="s">
        <v>25</v>
      </c>
      <c r="B402" s="5" t="s">
        <v>245</v>
      </c>
      <c r="C402" s="5" t="s">
        <v>70</v>
      </c>
      <c r="D402" s="6" t="s">
        <v>86</v>
      </c>
      <c r="E402" s="5" t="s">
        <v>262</v>
      </c>
      <c r="F402" s="5"/>
      <c r="G402" s="7"/>
      <c r="H402" s="5" t="str">
        <f aca="false">IF($G402="","",IF(LOWER(TRIM($G402))=LOWER(TRIM($F402)),"Match","Mismatch"))</f>
        <v/>
      </c>
      <c r="I402" s="5" t="str">
        <f aca="false">IF($G402="","",IF(LOWER(TRIM($G402))=LOWER(TRIM($E402)),"Match","Mismatch"))</f>
        <v/>
      </c>
      <c r="J402" s="6"/>
    </row>
    <row r="403" customFormat="false" ht="23.85" hidden="false" customHeight="false" outlineLevel="0" collapsed="false">
      <c r="A403" s="5" t="s">
        <v>25</v>
      </c>
      <c r="B403" s="5" t="s">
        <v>263</v>
      </c>
      <c r="C403" s="5" t="s">
        <v>27</v>
      </c>
      <c r="D403" s="6" t="s">
        <v>30</v>
      </c>
      <c r="E403" s="5" t="s">
        <v>31</v>
      </c>
      <c r="F403" s="5" t="s">
        <v>29</v>
      </c>
      <c r="G403" s="7"/>
      <c r="H403" s="5" t="str">
        <f aca="false">IF($G403="","",IF(LOWER(TRIM($G403))=LOWER(TRIM($F403)),"Match","Mismatch"))</f>
        <v/>
      </c>
      <c r="I403" s="5" t="str">
        <f aca="false">IF($G403="","",IF(LOWER(TRIM($G403))=LOWER(TRIM($E403)),"Match","Mismatch"))</f>
        <v/>
      </c>
      <c r="J403" s="6"/>
    </row>
    <row r="404" customFormat="false" ht="35.05" hidden="false" customHeight="false" outlineLevel="0" collapsed="false">
      <c r="A404" s="5" t="s">
        <v>25</v>
      </c>
      <c r="B404" s="5" t="s">
        <v>263</v>
      </c>
      <c r="C404" s="5" t="s">
        <v>27</v>
      </c>
      <c r="D404" s="6" t="s">
        <v>33</v>
      </c>
      <c r="E404" s="5" t="s">
        <v>31</v>
      </c>
      <c r="F404" s="5" t="s">
        <v>29</v>
      </c>
      <c r="G404" s="7"/>
      <c r="H404" s="5" t="str">
        <f aca="false">IF($G404="","",IF(LOWER(TRIM($G404))=LOWER(TRIM($F404)),"Match","Mismatch"))</f>
        <v/>
      </c>
      <c r="I404" s="5" t="str">
        <f aca="false">IF($G404="","",IF(LOWER(TRIM($G404))=LOWER(TRIM($E404)),"Match","Mismatch"))</f>
        <v/>
      </c>
      <c r="J404" s="6"/>
    </row>
    <row r="405" customFormat="false" ht="15" hidden="false" customHeight="false" outlineLevel="0" collapsed="false">
      <c r="A405" s="5" t="s">
        <v>25</v>
      </c>
      <c r="B405" s="5" t="s">
        <v>263</v>
      </c>
      <c r="C405" s="5" t="s">
        <v>27</v>
      </c>
      <c r="D405" s="6" t="s">
        <v>35</v>
      </c>
      <c r="E405" s="5" t="s">
        <v>264</v>
      </c>
      <c r="F405" s="5"/>
      <c r="G405" s="7"/>
      <c r="H405" s="5" t="str">
        <f aca="false">IF($G405="","",IF(LOWER(TRIM($G405))=LOWER(TRIM($F405)),"Match","Mismatch"))</f>
        <v/>
      </c>
      <c r="I405" s="5" t="str">
        <f aca="false">IF($G405="","",IF(LOWER(TRIM($G405))=LOWER(TRIM($E405)),"Match","Mismatch"))</f>
        <v/>
      </c>
      <c r="J405" s="6"/>
    </row>
    <row r="406" customFormat="false" ht="23.85" hidden="false" customHeight="false" outlineLevel="0" collapsed="false">
      <c r="A406" s="5" t="s">
        <v>25</v>
      </c>
      <c r="B406" s="5" t="s">
        <v>263</v>
      </c>
      <c r="C406" s="5" t="s">
        <v>27</v>
      </c>
      <c r="D406" s="6" t="s">
        <v>38</v>
      </c>
      <c r="E406" s="5" t="s">
        <v>31</v>
      </c>
      <c r="F406" s="5" t="s">
        <v>29</v>
      </c>
      <c r="G406" s="7"/>
      <c r="H406" s="5" t="str">
        <f aca="false">IF($G406="","",IF(LOWER(TRIM($G406))=LOWER(TRIM($F406)),"Match","Mismatch"))</f>
        <v/>
      </c>
      <c r="I406" s="5" t="str">
        <f aca="false">IF($G406="","",IF(LOWER(TRIM($G406))=LOWER(TRIM($E406)),"Match","Mismatch"))</f>
        <v/>
      </c>
      <c r="J406" s="6"/>
    </row>
    <row r="407" customFormat="false" ht="15" hidden="false" customHeight="false" outlineLevel="0" collapsed="false">
      <c r="A407" s="5" t="s">
        <v>25</v>
      </c>
      <c r="B407" s="5" t="s">
        <v>263</v>
      </c>
      <c r="C407" s="5" t="s">
        <v>39</v>
      </c>
      <c r="D407" s="6" t="s">
        <v>40</v>
      </c>
      <c r="E407" s="5"/>
      <c r="F407" s="5" t="s">
        <v>43</v>
      </c>
      <c r="G407" s="7"/>
      <c r="H407" s="5" t="str">
        <f aca="false">IF($G407="","",IF(LOWER(TRIM($G407))=LOWER(TRIM($F407)),"Match","Mismatch"))</f>
        <v/>
      </c>
      <c r="I407" s="5" t="str">
        <f aca="false">IF($G407="","",IF(LOWER(TRIM($G407))=LOWER(TRIM($E407)),"Match","Mismatch"))</f>
        <v/>
      </c>
      <c r="J407" s="6"/>
    </row>
    <row r="408" customFormat="false" ht="23.85" hidden="false" customHeight="false" outlineLevel="0" collapsed="false">
      <c r="A408" s="5" t="s">
        <v>25</v>
      </c>
      <c r="B408" s="5" t="s">
        <v>263</v>
      </c>
      <c r="C408" s="5" t="s">
        <v>39</v>
      </c>
      <c r="D408" s="6" t="s">
        <v>42</v>
      </c>
      <c r="E408" s="5"/>
      <c r="F408" s="5" t="s">
        <v>43</v>
      </c>
      <c r="G408" s="7"/>
      <c r="H408" s="5" t="str">
        <f aca="false">IF($G408="","",IF(LOWER(TRIM($G408))=LOWER(TRIM($F408)),"Match","Mismatch"))</f>
        <v/>
      </c>
      <c r="I408" s="5" t="str">
        <f aca="false">IF($G408="","",IF(LOWER(TRIM($G408))=LOWER(TRIM($E408)),"Match","Mismatch"))</f>
        <v/>
      </c>
      <c r="J408" s="6"/>
    </row>
    <row r="409" customFormat="false" ht="23.85" hidden="false" customHeight="false" outlineLevel="0" collapsed="false">
      <c r="A409" s="5" t="s">
        <v>25</v>
      </c>
      <c r="B409" s="5" t="s">
        <v>263</v>
      </c>
      <c r="C409" s="5" t="s">
        <v>39</v>
      </c>
      <c r="D409" s="6" t="s">
        <v>44</v>
      </c>
      <c r="E409" s="5"/>
      <c r="F409" s="5" t="s">
        <v>43</v>
      </c>
      <c r="G409" s="7"/>
      <c r="H409" s="5" t="str">
        <f aca="false">IF($G409="","",IF(LOWER(TRIM($G409))=LOWER(TRIM($F409)),"Match","Mismatch"))</f>
        <v/>
      </c>
      <c r="I409" s="5" t="str">
        <f aca="false">IF($G409="","",IF(LOWER(TRIM($G409))=LOWER(TRIM($E409)),"Match","Mismatch"))</f>
        <v/>
      </c>
      <c r="J409" s="6"/>
    </row>
    <row r="410" customFormat="false" ht="15" hidden="false" customHeight="false" outlineLevel="0" collapsed="false">
      <c r="A410" s="5" t="s">
        <v>25</v>
      </c>
      <c r="B410" s="5" t="s">
        <v>263</v>
      </c>
      <c r="C410" s="5" t="s">
        <v>39</v>
      </c>
      <c r="D410" s="6" t="s">
        <v>45</v>
      </c>
      <c r="E410" s="5"/>
      <c r="F410" s="5" t="s">
        <v>46</v>
      </c>
      <c r="G410" s="7"/>
      <c r="H410" s="5" t="str">
        <f aca="false">IF($G410="","",IF(LOWER(TRIM($G410))=LOWER(TRIM($F410)),"Match","Mismatch"))</f>
        <v/>
      </c>
      <c r="I410" s="5" t="str">
        <f aca="false">IF($G410="","",IF(LOWER(TRIM($G410))=LOWER(TRIM($E410)),"Match","Mismatch"))</f>
        <v/>
      </c>
      <c r="J410" s="6"/>
    </row>
    <row r="411" customFormat="false" ht="15" hidden="false" customHeight="false" outlineLevel="0" collapsed="false">
      <c r="A411" s="5" t="s">
        <v>25</v>
      </c>
      <c r="B411" s="5" t="s">
        <v>263</v>
      </c>
      <c r="C411" s="5" t="s">
        <v>39</v>
      </c>
      <c r="D411" s="6" t="s">
        <v>47</v>
      </c>
      <c r="E411" s="5"/>
      <c r="F411" s="5" t="s">
        <v>43</v>
      </c>
      <c r="G411" s="7"/>
      <c r="H411" s="5" t="str">
        <f aca="false">IF($G411="","",IF(LOWER(TRIM($G411))=LOWER(TRIM($F411)),"Match","Mismatch"))</f>
        <v/>
      </c>
      <c r="I411" s="5" t="str">
        <f aca="false">IF($G411="","",IF(LOWER(TRIM($G411))=LOWER(TRIM($E411)),"Match","Mismatch"))</f>
        <v/>
      </c>
      <c r="J411" s="6"/>
    </row>
    <row r="412" customFormat="false" ht="15" hidden="false" customHeight="false" outlineLevel="0" collapsed="false">
      <c r="A412" s="5" t="s">
        <v>25</v>
      </c>
      <c r="B412" s="5" t="s">
        <v>263</v>
      </c>
      <c r="C412" s="5" t="s">
        <v>39</v>
      </c>
      <c r="D412" s="6" t="s">
        <v>48</v>
      </c>
      <c r="E412" s="5"/>
      <c r="F412" s="5" t="s">
        <v>46</v>
      </c>
      <c r="G412" s="7"/>
      <c r="H412" s="5" t="str">
        <f aca="false">IF($G412="","",IF(LOWER(TRIM($G412))=LOWER(TRIM($F412)),"Match","Mismatch"))</f>
        <v/>
      </c>
      <c r="I412" s="5" t="str">
        <f aca="false">IF($G412="","",IF(LOWER(TRIM($G412))=LOWER(TRIM($E412)),"Match","Mismatch"))</f>
        <v/>
      </c>
      <c r="J412" s="6"/>
    </row>
    <row r="413" customFormat="false" ht="15" hidden="false" customHeight="false" outlineLevel="0" collapsed="false">
      <c r="A413" s="5" t="s">
        <v>25</v>
      </c>
      <c r="B413" s="5" t="s">
        <v>263</v>
      </c>
      <c r="C413" s="5" t="s">
        <v>39</v>
      </c>
      <c r="D413" s="6" t="s">
        <v>49</v>
      </c>
      <c r="E413" s="5"/>
      <c r="F413" s="5" t="s">
        <v>43</v>
      </c>
      <c r="G413" s="7"/>
      <c r="H413" s="5" t="str">
        <f aca="false">IF($G413="","",IF(LOWER(TRIM($G413))=LOWER(TRIM($F413)),"Match","Mismatch"))</f>
        <v/>
      </c>
      <c r="I413" s="5" t="str">
        <f aca="false">IF($G413="","",IF(LOWER(TRIM($G413))=LOWER(TRIM($E413)),"Match","Mismatch"))</f>
        <v/>
      </c>
      <c r="J413" s="6"/>
    </row>
    <row r="414" customFormat="false" ht="23.85" hidden="false" customHeight="false" outlineLevel="0" collapsed="false">
      <c r="A414" s="5" t="s">
        <v>25</v>
      </c>
      <c r="B414" s="5" t="s">
        <v>263</v>
      </c>
      <c r="C414" s="5" t="s">
        <v>39</v>
      </c>
      <c r="D414" s="6" t="s">
        <v>50</v>
      </c>
      <c r="E414" s="5"/>
      <c r="F414" s="5" t="s">
        <v>43</v>
      </c>
      <c r="G414" s="7"/>
      <c r="H414" s="5" t="str">
        <f aca="false">IF($G414="","",IF(LOWER(TRIM($G414))=LOWER(TRIM($F414)),"Match","Mismatch"))</f>
        <v/>
      </c>
      <c r="I414" s="5" t="str">
        <f aca="false">IF($G414="","",IF(LOWER(TRIM($G414))=LOWER(TRIM($E414)),"Match","Mismatch"))</f>
        <v/>
      </c>
      <c r="J414" s="6"/>
    </row>
    <row r="415" customFormat="false" ht="15" hidden="false" customHeight="false" outlineLevel="0" collapsed="false">
      <c r="A415" s="5" t="s">
        <v>25</v>
      </c>
      <c r="B415" s="5" t="s">
        <v>263</v>
      </c>
      <c r="C415" s="5" t="s">
        <v>39</v>
      </c>
      <c r="D415" s="6" t="s">
        <v>51</v>
      </c>
      <c r="E415" s="5"/>
      <c r="F415" s="5" t="s">
        <v>43</v>
      </c>
      <c r="G415" s="7"/>
      <c r="H415" s="5" t="str">
        <f aca="false">IF($G415="","",IF(LOWER(TRIM($G415))=LOWER(TRIM($F415)),"Match","Mismatch"))</f>
        <v/>
      </c>
      <c r="I415" s="5" t="str">
        <f aca="false">IF($G415="","",IF(LOWER(TRIM($G415))=LOWER(TRIM($E415)),"Match","Mismatch"))</f>
        <v/>
      </c>
      <c r="J415" s="6"/>
    </row>
    <row r="416" customFormat="false" ht="15" hidden="false" customHeight="false" outlineLevel="0" collapsed="false">
      <c r="A416" s="5" t="s">
        <v>25</v>
      </c>
      <c r="B416" s="5" t="s">
        <v>263</v>
      </c>
      <c r="C416" s="5" t="s">
        <v>39</v>
      </c>
      <c r="D416" s="6" t="s">
        <v>52</v>
      </c>
      <c r="E416" s="5"/>
      <c r="F416" s="5" t="s">
        <v>43</v>
      </c>
      <c r="G416" s="7"/>
      <c r="H416" s="5" t="str">
        <f aca="false">IF($G416="","",IF(LOWER(TRIM($G416))=LOWER(TRIM($F416)),"Match","Mismatch"))</f>
        <v/>
      </c>
      <c r="I416" s="5" t="str">
        <f aca="false">IF($G416="","",IF(LOWER(TRIM($G416))=LOWER(TRIM($E416)),"Match","Mismatch"))</f>
        <v/>
      </c>
      <c r="J416" s="6"/>
    </row>
    <row r="417" customFormat="false" ht="15" hidden="false" customHeight="false" outlineLevel="0" collapsed="false">
      <c r="A417" s="5" t="s">
        <v>25</v>
      </c>
      <c r="B417" s="5" t="s">
        <v>263</v>
      </c>
      <c r="C417" s="5" t="s">
        <v>39</v>
      </c>
      <c r="D417" s="6" t="s">
        <v>53</v>
      </c>
      <c r="E417" s="5"/>
      <c r="F417" s="5" t="s">
        <v>46</v>
      </c>
      <c r="G417" s="7"/>
      <c r="H417" s="5" t="str">
        <f aca="false">IF($G417="","",IF(LOWER(TRIM($G417))=LOWER(TRIM($F417)),"Match","Mismatch"))</f>
        <v/>
      </c>
      <c r="I417" s="5" t="str">
        <f aca="false">IF($G417="","",IF(LOWER(TRIM($G417))=LOWER(TRIM($E417)),"Match","Mismatch"))</f>
        <v/>
      </c>
      <c r="J417" s="6"/>
    </row>
    <row r="418" customFormat="false" ht="15" hidden="false" customHeight="false" outlineLevel="0" collapsed="false">
      <c r="A418" s="5" t="s">
        <v>25</v>
      </c>
      <c r="B418" s="5" t="s">
        <v>263</v>
      </c>
      <c r="C418" s="5" t="s">
        <v>39</v>
      </c>
      <c r="D418" s="6" t="s">
        <v>54</v>
      </c>
      <c r="E418" s="5"/>
      <c r="F418" s="5" t="s">
        <v>41</v>
      </c>
      <c r="G418" s="7"/>
      <c r="H418" s="5" t="str">
        <f aca="false">IF($G418="","",IF(LOWER(TRIM($G418))=LOWER(TRIM($F418)),"Match","Mismatch"))</f>
        <v/>
      </c>
      <c r="I418" s="5" t="str">
        <f aca="false">IF($G418="","",IF(LOWER(TRIM($G418))=LOWER(TRIM($E418)),"Match","Mismatch"))</f>
        <v/>
      </c>
      <c r="J418" s="6"/>
    </row>
    <row r="419" customFormat="false" ht="23.85" hidden="false" customHeight="false" outlineLevel="0" collapsed="false">
      <c r="A419" s="5" t="s">
        <v>25</v>
      </c>
      <c r="B419" s="5" t="s">
        <v>263</v>
      </c>
      <c r="C419" s="5" t="s">
        <v>39</v>
      </c>
      <c r="D419" s="6" t="s">
        <v>56</v>
      </c>
      <c r="E419" s="5"/>
      <c r="F419" s="5" t="s">
        <v>43</v>
      </c>
      <c r="G419" s="7"/>
      <c r="H419" s="5" t="str">
        <f aca="false">IF($G419="","",IF(LOWER(TRIM($G419))=LOWER(TRIM($F419)),"Match","Mismatch"))</f>
        <v/>
      </c>
      <c r="I419" s="5" t="str">
        <f aca="false">IF($G419="","",IF(LOWER(TRIM($G419))=LOWER(TRIM($E419)),"Match","Mismatch"))</f>
        <v/>
      </c>
      <c r="J419" s="6"/>
    </row>
    <row r="420" customFormat="false" ht="15" hidden="false" customHeight="false" outlineLevel="0" collapsed="false">
      <c r="A420" s="5" t="s">
        <v>25</v>
      </c>
      <c r="B420" s="5" t="s">
        <v>263</v>
      </c>
      <c r="C420" s="5" t="s">
        <v>39</v>
      </c>
      <c r="D420" s="6" t="s">
        <v>57</v>
      </c>
      <c r="E420" s="5"/>
      <c r="F420" s="5" t="s">
        <v>43</v>
      </c>
      <c r="G420" s="7"/>
      <c r="H420" s="5" t="str">
        <f aca="false">IF($G420="","",IF(LOWER(TRIM($G420))=LOWER(TRIM($F420)),"Match","Mismatch"))</f>
        <v/>
      </c>
      <c r="I420" s="5" t="str">
        <f aca="false">IF($G420="","",IF(LOWER(TRIM($G420))=LOWER(TRIM($E420)),"Match","Mismatch"))</f>
        <v/>
      </c>
      <c r="J420" s="6"/>
    </row>
    <row r="421" customFormat="false" ht="15" hidden="false" customHeight="false" outlineLevel="0" collapsed="false">
      <c r="A421" s="5" t="s">
        <v>25</v>
      </c>
      <c r="B421" s="5" t="s">
        <v>263</v>
      </c>
      <c r="C421" s="5" t="s">
        <v>39</v>
      </c>
      <c r="D421" s="6" t="s">
        <v>58</v>
      </c>
      <c r="E421" s="5"/>
      <c r="F421" s="5" t="s">
        <v>41</v>
      </c>
      <c r="G421" s="7"/>
      <c r="H421" s="5" t="str">
        <f aca="false">IF($G421="","",IF(LOWER(TRIM($G421))=LOWER(TRIM($F421)),"Match","Mismatch"))</f>
        <v/>
      </c>
      <c r="I421" s="5" t="str">
        <f aca="false">IF($G421="","",IF(LOWER(TRIM($G421))=LOWER(TRIM($E421)),"Match","Mismatch"))</f>
        <v/>
      </c>
      <c r="J421" s="6"/>
    </row>
    <row r="422" customFormat="false" ht="15" hidden="false" customHeight="false" outlineLevel="0" collapsed="false">
      <c r="A422" s="5" t="s">
        <v>25</v>
      </c>
      <c r="B422" s="5" t="s">
        <v>263</v>
      </c>
      <c r="C422" s="5" t="s">
        <v>59</v>
      </c>
      <c r="D422" s="6" t="s">
        <v>63</v>
      </c>
      <c r="E422" s="5" t="s">
        <v>265</v>
      </c>
      <c r="F422" s="5"/>
      <c r="G422" s="7"/>
      <c r="H422" s="5" t="str">
        <f aca="false">IF($G422="","",IF(LOWER(TRIM($G422))=LOWER(TRIM($F422)),"Match","Mismatch"))</f>
        <v/>
      </c>
      <c r="I422" s="5" t="str">
        <f aca="false">IF($G422="","",IF(LOWER(TRIM($G422))=LOWER(TRIM($E422)),"Match","Mismatch"))</f>
        <v/>
      </c>
      <c r="J422" s="6"/>
    </row>
    <row r="423" customFormat="false" ht="23.85" hidden="false" customHeight="false" outlineLevel="0" collapsed="false">
      <c r="A423" s="5" t="s">
        <v>25</v>
      </c>
      <c r="B423" s="5" t="s">
        <v>263</v>
      </c>
      <c r="C423" s="5" t="s">
        <v>59</v>
      </c>
      <c r="D423" s="6" t="s">
        <v>65</v>
      </c>
      <c r="E423" s="5" t="s">
        <v>31</v>
      </c>
      <c r="F423" s="5" t="s">
        <v>29</v>
      </c>
      <c r="G423" s="7"/>
      <c r="H423" s="5" t="str">
        <f aca="false">IF($G423="","",IF(LOWER(TRIM($G423))=LOWER(TRIM($F423)),"Match","Mismatch"))</f>
        <v/>
      </c>
      <c r="I423" s="5" t="str">
        <f aca="false">IF($G423="","",IF(LOWER(TRIM($G423))=LOWER(TRIM($E423)),"Match","Mismatch"))</f>
        <v/>
      </c>
      <c r="J423" s="6"/>
    </row>
    <row r="424" customFormat="false" ht="23.85" hidden="false" customHeight="false" outlineLevel="0" collapsed="false">
      <c r="A424" s="5" t="s">
        <v>25</v>
      </c>
      <c r="B424" s="5" t="s">
        <v>263</v>
      </c>
      <c r="C424" s="5" t="s">
        <v>59</v>
      </c>
      <c r="D424" s="6" t="s">
        <v>66</v>
      </c>
      <c r="E424" s="5" t="s">
        <v>31</v>
      </c>
      <c r="F424" s="5" t="s">
        <v>29</v>
      </c>
      <c r="G424" s="7"/>
      <c r="H424" s="5" t="str">
        <f aca="false">IF($G424="","",IF(LOWER(TRIM($G424))=LOWER(TRIM($F424)),"Match","Mismatch"))</f>
        <v/>
      </c>
      <c r="I424" s="5" t="str">
        <f aca="false">IF($G424="","",IF(LOWER(TRIM($G424))=LOWER(TRIM($E424)),"Match","Mismatch"))</f>
        <v/>
      </c>
      <c r="J424" s="6"/>
    </row>
    <row r="425" customFormat="false" ht="15" hidden="false" customHeight="false" outlineLevel="0" collapsed="false">
      <c r="A425" s="5" t="s">
        <v>25</v>
      </c>
      <c r="B425" s="5" t="s">
        <v>263</v>
      </c>
      <c r="C425" s="5" t="s">
        <v>70</v>
      </c>
      <c r="D425" s="6" t="s">
        <v>71</v>
      </c>
      <c r="E425" s="5" t="s">
        <v>266</v>
      </c>
      <c r="F425" s="5" t="s">
        <v>267</v>
      </c>
      <c r="G425" s="7"/>
      <c r="H425" s="5" t="str">
        <f aca="false">IF($G425="","",IF(LOWER(TRIM($G425))=LOWER(TRIM($F425)),"Match","Mismatch"))</f>
        <v/>
      </c>
      <c r="I425" s="5" t="str">
        <f aca="false">IF($G425="","",IF(LOWER(TRIM($G425))=LOWER(TRIM($E425)),"Match","Mismatch"))</f>
        <v/>
      </c>
      <c r="J425" s="6"/>
    </row>
    <row r="426" customFormat="false" ht="15" hidden="false" customHeight="false" outlineLevel="0" collapsed="false">
      <c r="A426" s="5" t="s">
        <v>25</v>
      </c>
      <c r="B426" s="5" t="s">
        <v>263</v>
      </c>
      <c r="C426" s="5" t="s">
        <v>70</v>
      </c>
      <c r="D426" s="6" t="s">
        <v>73</v>
      </c>
      <c r="E426" s="5" t="s">
        <v>268</v>
      </c>
      <c r="F426" s="5" t="s">
        <v>269</v>
      </c>
      <c r="G426" s="7"/>
      <c r="H426" s="5" t="str">
        <f aca="false">IF($G426="","",IF(LOWER(TRIM($G426))=LOWER(TRIM($F426)),"Match","Mismatch"))</f>
        <v/>
      </c>
      <c r="I426" s="5" t="str">
        <f aca="false">IF($G426="","",IF(LOWER(TRIM($G426))=LOWER(TRIM($E426)),"Match","Mismatch"))</f>
        <v/>
      </c>
      <c r="J426" s="6"/>
    </row>
    <row r="427" customFormat="false" ht="15" hidden="false" customHeight="false" outlineLevel="0" collapsed="false">
      <c r="A427" s="5" t="s">
        <v>25</v>
      </c>
      <c r="B427" s="5" t="s">
        <v>263</v>
      </c>
      <c r="C427" s="5" t="s">
        <v>70</v>
      </c>
      <c r="D427" s="6" t="s">
        <v>75</v>
      </c>
      <c r="E427" s="5" t="s">
        <v>270</v>
      </c>
      <c r="F427" s="5" t="s">
        <v>271</v>
      </c>
      <c r="G427" s="7"/>
      <c r="H427" s="5" t="str">
        <f aca="false">IF($G427="","",IF(LOWER(TRIM($G427))=LOWER(TRIM($F427)),"Match","Mismatch"))</f>
        <v/>
      </c>
      <c r="I427" s="5" t="str">
        <f aca="false">IF($G427="","",IF(LOWER(TRIM($G427))=LOWER(TRIM($E427)),"Match","Mismatch"))</f>
        <v/>
      </c>
      <c r="J427" s="6"/>
    </row>
    <row r="428" customFormat="false" ht="15" hidden="false" customHeight="false" outlineLevel="0" collapsed="false">
      <c r="A428" s="5" t="s">
        <v>25</v>
      </c>
      <c r="B428" s="5" t="s">
        <v>263</v>
      </c>
      <c r="C428" s="5" t="s">
        <v>70</v>
      </c>
      <c r="D428" s="6" t="s">
        <v>80</v>
      </c>
      <c r="E428" s="5" t="s">
        <v>272</v>
      </c>
      <c r="F428" s="5" t="s">
        <v>273</v>
      </c>
      <c r="G428" s="7"/>
      <c r="H428" s="5" t="str">
        <f aca="false">IF($G428="","",IF(LOWER(TRIM($G428))=LOWER(TRIM($F428)),"Match","Mismatch"))</f>
        <v/>
      </c>
      <c r="I428" s="5" t="str">
        <f aca="false">IF($G428="","",IF(LOWER(TRIM($G428))=LOWER(TRIM($E428)),"Match","Mismatch"))</f>
        <v/>
      </c>
      <c r="J428" s="6"/>
    </row>
    <row r="429" customFormat="false" ht="15" hidden="false" customHeight="false" outlineLevel="0" collapsed="false">
      <c r="A429" s="5" t="s">
        <v>25</v>
      </c>
      <c r="B429" s="5" t="s">
        <v>263</v>
      </c>
      <c r="C429" s="5" t="s">
        <v>70</v>
      </c>
      <c r="D429" s="6" t="s">
        <v>82</v>
      </c>
      <c r="E429" s="5" t="s">
        <v>274</v>
      </c>
      <c r="F429" s="5" t="s">
        <v>275</v>
      </c>
      <c r="G429" s="7"/>
      <c r="H429" s="5" t="str">
        <f aca="false">IF($G429="","",IF(LOWER(TRIM($G429))=LOWER(TRIM($F429)),"Match","Mismatch"))</f>
        <v/>
      </c>
      <c r="I429" s="5" t="str">
        <f aca="false">IF($G429="","",IF(LOWER(TRIM($G429))=LOWER(TRIM($E429)),"Match","Mismatch"))</f>
        <v/>
      </c>
      <c r="J429" s="6"/>
    </row>
    <row r="430" customFormat="false" ht="15" hidden="false" customHeight="false" outlineLevel="0" collapsed="false">
      <c r="A430" s="5" t="s">
        <v>25</v>
      </c>
      <c r="B430" s="5" t="s">
        <v>263</v>
      </c>
      <c r="C430" s="5" t="s">
        <v>70</v>
      </c>
      <c r="D430" s="6" t="s">
        <v>84</v>
      </c>
      <c r="E430" s="5" t="s">
        <v>276</v>
      </c>
      <c r="F430" s="5"/>
      <c r="G430" s="7"/>
      <c r="H430" s="5" t="str">
        <f aca="false">IF($G430="","",IF(LOWER(TRIM($G430))=LOWER(TRIM($F430)),"Match","Mismatch"))</f>
        <v/>
      </c>
      <c r="I430" s="5" t="str">
        <f aca="false">IF($G430="","",IF(LOWER(TRIM($G430))=LOWER(TRIM($E430)),"Match","Mismatch"))</f>
        <v/>
      </c>
      <c r="J430" s="6"/>
    </row>
    <row r="431" customFormat="false" ht="15" hidden="false" customHeight="false" outlineLevel="0" collapsed="false">
      <c r="A431" s="5" t="s">
        <v>25</v>
      </c>
      <c r="B431" s="5" t="s">
        <v>263</v>
      </c>
      <c r="C431" s="5" t="s">
        <v>70</v>
      </c>
      <c r="D431" s="6" t="s">
        <v>86</v>
      </c>
      <c r="E431" s="5" t="s">
        <v>277</v>
      </c>
      <c r="F431" s="5" t="s">
        <v>278</v>
      </c>
      <c r="G431" s="7"/>
      <c r="H431" s="5" t="str">
        <f aca="false">IF($G431="","",IF(LOWER(TRIM($G431))=LOWER(TRIM($F431)),"Match","Mismatch"))</f>
        <v/>
      </c>
      <c r="I431" s="5" t="str">
        <f aca="false">IF($G431="","",IF(LOWER(TRIM($G431))=LOWER(TRIM($E431)),"Match","Mismatch"))</f>
        <v/>
      </c>
      <c r="J431" s="6"/>
    </row>
    <row r="432" customFormat="false" ht="23.85" hidden="false" customHeight="false" outlineLevel="0" collapsed="false">
      <c r="A432" s="5" t="s">
        <v>25</v>
      </c>
      <c r="B432" s="5" t="s">
        <v>279</v>
      </c>
      <c r="C432" s="5" t="s">
        <v>27</v>
      </c>
      <c r="D432" s="6" t="s">
        <v>28</v>
      </c>
      <c r="E432" s="5" t="s">
        <v>29</v>
      </c>
      <c r="F432" s="5" t="s">
        <v>31</v>
      </c>
      <c r="G432" s="7"/>
      <c r="H432" s="5" t="str">
        <f aca="false">IF($G432="","",IF(LOWER(TRIM($G432))=LOWER(TRIM($F432)),"Match","Mismatch"))</f>
        <v/>
      </c>
      <c r="I432" s="5" t="str">
        <f aca="false">IF($G432="","",IF(LOWER(TRIM($G432))=LOWER(TRIM($E432)),"Match","Mismatch"))</f>
        <v/>
      </c>
      <c r="J432" s="6"/>
    </row>
    <row r="433" customFormat="false" ht="23.85" hidden="false" customHeight="false" outlineLevel="0" collapsed="false">
      <c r="A433" s="5" t="s">
        <v>25</v>
      </c>
      <c r="B433" s="5" t="s">
        <v>279</v>
      </c>
      <c r="C433" s="5" t="s">
        <v>27</v>
      </c>
      <c r="D433" s="6" t="s">
        <v>30</v>
      </c>
      <c r="E433" s="5"/>
      <c r="F433" s="5" t="s">
        <v>31</v>
      </c>
      <c r="G433" s="7"/>
      <c r="H433" s="5" t="str">
        <f aca="false">IF($G433="","",IF(LOWER(TRIM($G433))=LOWER(TRIM($F433)),"Match","Mismatch"))</f>
        <v/>
      </c>
      <c r="I433" s="5" t="str">
        <f aca="false">IF($G433="","",IF(LOWER(TRIM($G433))=LOWER(TRIM($E433)),"Match","Mismatch"))</f>
        <v/>
      </c>
      <c r="J433" s="6"/>
    </row>
    <row r="434" customFormat="false" ht="35.05" hidden="false" customHeight="false" outlineLevel="0" collapsed="false">
      <c r="A434" s="5" t="s">
        <v>25</v>
      </c>
      <c r="B434" s="5" t="s">
        <v>279</v>
      </c>
      <c r="C434" s="5" t="s">
        <v>27</v>
      </c>
      <c r="D434" s="6" t="s">
        <v>32</v>
      </c>
      <c r="E434" s="5" t="s">
        <v>29</v>
      </c>
      <c r="F434" s="5" t="s">
        <v>31</v>
      </c>
      <c r="G434" s="7"/>
      <c r="H434" s="5" t="str">
        <f aca="false">IF($G434="","",IF(LOWER(TRIM($G434))=LOWER(TRIM($F434)),"Match","Mismatch"))</f>
        <v/>
      </c>
      <c r="I434" s="5" t="str">
        <f aca="false">IF($G434="","",IF(LOWER(TRIM($G434))=LOWER(TRIM($E434)),"Match","Mismatch"))</f>
        <v/>
      </c>
      <c r="J434" s="6"/>
    </row>
    <row r="435" customFormat="false" ht="35.05" hidden="false" customHeight="false" outlineLevel="0" collapsed="false">
      <c r="A435" s="5" t="s">
        <v>25</v>
      </c>
      <c r="B435" s="5" t="s">
        <v>279</v>
      </c>
      <c r="C435" s="5" t="s">
        <v>27</v>
      </c>
      <c r="D435" s="6" t="s">
        <v>33</v>
      </c>
      <c r="E435" s="5"/>
      <c r="F435" s="5" t="s">
        <v>31</v>
      </c>
      <c r="G435" s="7"/>
      <c r="H435" s="5" t="str">
        <f aca="false">IF($G435="","",IF(LOWER(TRIM($G435))=LOWER(TRIM($F435)),"Match","Mismatch"))</f>
        <v/>
      </c>
      <c r="I435" s="5" t="str">
        <f aca="false">IF($G435="","",IF(LOWER(TRIM($G435))=LOWER(TRIM($E435)),"Match","Mismatch"))</f>
        <v/>
      </c>
      <c r="J435" s="6"/>
    </row>
    <row r="436" customFormat="false" ht="23.85" hidden="false" customHeight="false" outlineLevel="0" collapsed="false">
      <c r="A436" s="5" t="s">
        <v>25</v>
      </c>
      <c r="B436" s="5" t="s">
        <v>279</v>
      </c>
      <c r="C436" s="5" t="s">
        <v>27</v>
      </c>
      <c r="D436" s="6" t="s">
        <v>34</v>
      </c>
      <c r="E436" s="5" t="s">
        <v>29</v>
      </c>
      <c r="F436" s="5" t="s">
        <v>31</v>
      </c>
      <c r="G436" s="7"/>
      <c r="H436" s="5" t="str">
        <f aca="false">IF($G436="","",IF(LOWER(TRIM($G436))=LOWER(TRIM($F436)),"Match","Mismatch"))</f>
        <v/>
      </c>
      <c r="I436" s="5" t="str">
        <f aca="false">IF($G436="","",IF(LOWER(TRIM($G436))=LOWER(TRIM($E436)),"Match","Mismatch"))</f>
        <v/>
      </c>
      <c r="J436" s="6"/>
    </row>
    <row r="437" customFormat="false" ht="15" hidden="false" customHeight="false" outlineLevel="0" collapsed="false">
      <c r="A437" s="5" t="s">
        <v>25</v>
      </c>
      <c r="B437" s="5" t="s">
        <v>279</v>
      </c>
      <c r="C437" s="5" t="s">
        <v>27</v>
      </c>
      <c r="D437" s="6" t="s">
        <v>35</v>
      </c>
      <c r="E437" s="5" t="s">
        <v>280</v>
      </c>
      <c r="F437" s="5" t="s">
        <v>281</v>
      </c>
      <c r="G437" s="7"/>
      <c r="H437" s="5" t="str">
        <f aca="false">IF($G437="","",IF(LOWER(TRIM($G437))=LOWER(TRIM($F437)),"Match","Mismatch"))</f>
        <v/>
      </c>
      <c r="I437" s="5" t="str">
        <f aca="false">IF($G437="","",IF(LOWER(TRIM($G437))=LOWER(TRIM($E437)),"Match","Mismatch"))</f>
        <v/>
      </c>
      <c r="J437" s="6"/>
    </row>
    <row r="438" customFormat="false" ht="23.85" hidden="false" customHeight="false" outlineLevel="0" collapsed="false">
      <c r="A438" s="5" t="s">
        <v>25</v>
      </c>
      <c r="B438" s="5" t="s">
        <v>279</v>
      </c>
      <c r="C438" s="5" t="s">
        <v>27</v>
      </c>
      <c r="D438" s="6" t="s">
        <v>37</v>
      </c>
      <c r="E438" s="5"/>
      <c r="F438" s="5" t="s">
        <v>31</v>
      </c>
      <c r="G438" s="7"/>
      <c r="H438" s="5" t="str">
        <f aca="false">IF($G438="","",IF(LOWER(TRIM($G438))=LOWER(TRIM($F438)),"Match","Mismatch"))</f>
        <v/>
      </c>
      <c r="I438" s="5" t="str">
        <f aca="false">IF($G438="","",IF(LOWER(TRIM($G438))=LOWER(TRIM($E438)),"Match","Mismatch"))</f>
        <v/>
      </c>
      <c r="J438" s="6"/>
    </row>
    <row r="439" customFormat="false" ht="15" hidden="false" customHeight="false" outlineLevel="0" collapsed="false">
      <c r="A439" s="5" t="s">
        <v>25</v>
      </c>
      <c r="B439" s="5" t="s">
        <v>279</v>
      </c>
      <c r="C439" s="5" t="s">
        <v>39</v>
      </c>
      <c r="D439" s="6" t="s">
        <v>40</v>
      </c>
      <c r="E439" s="5" t="s">
        <v>46</v>
      </c>
      <c r="F439" s="5" t="s">
        <v>41</v>
      </c>
      <c r="G439" s="7"/>
      <c r="H439" s="5" t="str">
        <f aca="false">IF($G439="","",IF(LOWER(TRIM($G439))=LOWER(TRIM($F439)),"Match","Mismatch"))</f>
        <v/>
      </c>
      <c r="I439" s="5" t="str">
        <f aca="false">IF($G439="","",IF(LOWER(TRIM($G439))=LOWER(TRIM($E439)),"Match","Mismatch"))</f>
        <v/>
      </c>
      <c r="J439" s="6"/>
    </row>
    <row r="440" customFormat="false" ht="23.85" hidden="false" customHeight="false" outlineLevel="0" collapsed="false">
      <c r="A440" s="5" t="s">
        <v>25</v>
      </c>
      <c r="B440" s="5" t="s">
        <v>279</v>
      </c>
      <c r="C440" s="5" t="s">
        <v>39</v>
      </c>
      <c r="D440" s="6" t="s">
        <v>44</v>
      </c>
      <c r="E440" s="5" t="s">
        <v>46</v>
      </c>
      <c r="F440" s="5" t="s">
        <v>41</v>
      </c>
      <c r="G440" s="7"/>
      <c r="H440" s="5" t="str">
        <f aca="false">IF($G440="","",IF(LOWER(TRIM($G440))=LOWER(TRIM($F440)),"Match","Mismatch"))</f>
        <v/>
      </c>
      <c r="I440" s="5" t="str">
        <f aca="false">IF($G440="","",IF(LOWER(TRIM($G440))=LOWER(TRIM($E440)),"Match","Mismatch"))</f>
        <v/>
      </c>
      <c r="J440" s="6"/>
    </row>
    <row r="441" customFormat="false" ht="15" hidden="false" customHeight="false" outlineLevel="0" collapsed="false">
      <c r="A441" s="5" t="s">
        <v>25</v>
      </c>
      <c r="B441" s="5" t="s">
        <v>279</v>
      </c>
      <c r="C441" s="5" t="s">
        <v>39</v>
      </c>
      <c r="D441" s="6" t="s">
        <v>47</v>
      </c>
      <c r="E441" s="5" t="s">
        <v>41</v>
      </c>
      <c r="F441" s="5" t="s">
        <v>43</v>
      </c>
      <c r="G441" s="7"/>
      <c r="H441" s="5" t="str">
        <f aca="false">IF($G441="","",IF(LOWER(TRIM($G441))=LOWER(TRIM($F441)),"Match","Mismatch"))</f>
        <v/>
      </c>
      <c r="I441" s="5" t="str">
        <f aca="false">IF($G441="","",IF(LOWER(TRIM($G441))=LOWER(TRIM($E441)),"Match","Mismatch"))</f>
        <v/>
      </c>
      <c r="J441" s="6"/>
    </row>
    <row r="442" customFormat="false" ht="23.85" hidden="false" customHeight="false" outlineLevel="0" collapsed="false">
      <c r="A442" s="5" t="s">
        <v>25</v>
      </c>
      <c r="B442" s="5" t="s">
        <v>279</v>
      </c>
      <c r="C442" s="5" t="s">
        <v>39</v>
      </c>
      <c r="D442" s="6" t="s">
        <v>50</v>
      </c>
      <c r="E442" s="5" t="s">
        <v>55</v>
      </c>
      <c r="F442" s="5" t="s">
        <v>43</v>
      </c>
      <c r="G442" s="7"/>
      <c r="H442" s="5" t="str">
        <f aca="false">IF($G442="","",IF(LOWER(TRIM($G442))=LOWER(TRIM($F442)),"Match","Mismatch"))</f>
        <v/>
      </c>
      <c r="I442" s="5" t="str">
        <f aca="false">IF($G442="","",IF(LOWER(TRIM($G442))=LOWER(TRIM($E442)),"Match","Mismatch"))</f>
        <v/>
      </c>
      <c r="J442" s="6"/>
    </row>
    <row r="443" customFormat="false" ht="23.85" hidden="false" customHeight="false" outlineLevel="0" collapsed="false">
      <c r="A443" s="5" t="s">
        <v>25</v>
      </c>
      <c r="B443" s="5" t="s">
        <v>279</v>
      </c>
      <c r="C443" s="5" t="s">
        <v>39</v>
      </c>
      <c r="D443" s="6" t="s">
        <v>56</v>
      </c>
      <c r="E443" s="5" t="s">
        <v>46</v>
      </c>
      <c r="F443" s="5" t="s">
        <v>41</v>
      </c>
      <c r="G443" s="7"/>
      <c r="H443" s="5" t="str">
        <f aca="false">IF($G443="","",IF(LOWER(TRIM($G443))=LOWER(TRIM($F443)),"Match","Mismatch"))</f>
        <v/>
      </c>
      <c r="I443" s="5" t="str">
        <f aca="false">IF($G443="","",IF(LOWER(TRIM($G443))=LOWER(TRIM($E443)),"Match","Mismatch"))</f>
        <v/>
      </c>
      <c r="J443" s="6"/>
    </row>
    <row r="444" customFormat="false" ht="15" hidden="false" customHeight="false" outlineLevel="0" collapsed="false">
      <c r="A444" s="5" t="s">
        <v>25</v>
      </c>
      <c r="B444" s="5" t="s">
        <v>279</v>
      </c>
      <c r="C444" s="5" t="s">
        <v>39</v>
      </c>
      <c r="D444" s="6" t="s">
        <v>57</v>
      </c>
      <c r="E444" s="5" t="s">
        <v>46</v>
      </c>
      <c r="F444" s="5" t="s">
        <v>55</v>
      </c>
      <c r="G444" s="7"/>
      <c r="H444" s="5" t="str">
        <f aca="false">IF($G444="","",IF(LOWER(TRIM($G444))=LOWER(TRIM($F444)),"Match","Mismatch"))</f>
        <v/>
      </c>
      <c r="I444" s="5" t="str">
        <f aca="false">IF($G444="","",IF(LOWER(TRIM($G444))=LOWER(TRIM($E444)),"Match","Mismatch"))</f>
        <v/>
      </c>
      <c r="J444" s="6"/>
    </row>
    <row r="445" customFormat="false" ht="15" hidden="false" customHeight="false" outlineLevel="0" collapsed="false">
      <c r="A445" s="5" t="s">
        <v>25</v>
      </c>
      <c r="B445" s="5" t="s">
        <v>279</v>
      </c>
      <c r="C445" s="5" t="s">
        <v>39</v>
      </c>
      <c r="D445" s="6" t="s">
        <v>58</v>
      </c>
      <c r="E445" s="5" t="s">
        <v>46</v>
      </c>
      <c r="F445" s="5" t="s">
        <v>55</v>
      </c>
      <c r="G445" s="7"/>
      <c r="H445" s="5" t="str">
        <f aca="false">IF($G445="","",IF(LOWER(TRIM($G445))=LOWER(TRIM($F445)),"Match","Mismatch"))</f>
        <v/>
      </c>
      <c r="I445" s="5" t="str">
        <f aca="false">IF($G445="","",IF(LOWER(TRIM($G445))=LOWER(TRIM($E445)),"Match","Mismatch"))</f>
        <v/>
      </c>
      <c r="J445" s="6"/>
    </row>
    <row r="446" customFormat="false" ht="23.85" hidden="false" customHeight="false" outlineLevel="0" collapsed="false">
      <c r="A446" s="5" t="s">
        <v>25</v>
      </c>
      <c r="B446" s="5" t="s">
        <v>279</v>
      </c>
      <c r="C446" s="5" t="s">
        <v>59</v>
      </c>
      <c r="D446" s="6" t="s">
        <v>61</v>
      </c>
      <c r="E446" s="5" t="s">
        <v>29</v>
      </c>
      <c r="F446" s="5" t="s">
        <v>31</v>
      </c>
      <c r="G446" s="7"/>
      <c r="H446" s="5" t="str">
        <f aca="false">IF($G446="","",IF(LOWER(TRIM($G446))=LOWER(TRIM($F446)),"Match","Mismatch"))</f>
        <v/>
      </c>
      <c r="I446" s="5" t="str">
        <f aca="false">IF($G446="","",IF(LOWER(TRIM($G446))=LOWER(TRIM($E446)),"Match","Mismatch"))</f>
        <v/>
      </c>
      <c r="J446" s="6"/>
    </row>
    <row r="447" customFormat="false" ht="15" hidden="false" customHeight="false" outlineLevel="0" collapsed="false">
      <c r="A447" s="5" t="s">
        <v>25</v>
      </c>
      <c r="B447" s="5" t="s">
        <v>279</v>
      </c>
      <c r="C447" s="5" t="s">
        <v>59</v>
      </c>
      <c r="D447" s="6" t="s">
        <v>62</v>
      </c>
      <c r="E447" s="5" t="s">
        <v>29</v>
      </c>
      <c r="F447" s="5" t="s">
        <v>31</v>
      </c>
      <c r="G447" s="7"/>
      <c r="H447" s="5" t="str">
        <f aca="false">IF($G447="","",IF(LOWER(TRIM($G447))=LOWER(TRIM($F447)),"Match","Mismatch"))</f>
        <v/>
      </c>
      <c r="I447" s="5" t="str">
        <f aca="false">IF($G447="","",IF(LOWER(TRIM($G447))=LOWER(TRIM($E447)),"Match","Mismatch"))</f>
        <v/>
      </c>
      <c r="J447" s="6"/>
    </row>
    <row r="448" customFormat="false" ht="15" hidden="false" customHeight="false" outlineLevel="0" collapsed="false">
      <c r="A448" s="5" t="s">
        <v>25</v>
      </c>
      <c r="B448" s="5" t="s">
        <v>279</v>
      </c>
      <c r="C448" s="5" t="s">
        <v>59</v>
      </c>
      <c r="D448" s="6" t="s">
        <v>63</v>
      </c>
      <c r="E448" s="5" t="s">
        <v>282</v>
      </c>
      <c r="F448" s="5" t="s">
        <v>283</v>
      </c>
      <c r="G448" s="7"/>
      <c r="H448" s="5" t="str">
        <f aca="false">IF($G448="","",IF(LOWER(TRIM($G448))=LOWER(TRIM($F448)),"Match","Mismatch"))</f>
        <v/>
      </c>
      <c r="I448" s="5" t="str">
        <f aca="false">IF($G448="","",IF(LOWER(TRIM($G448))=LOWER(TRIM($E448)),"Match","Mismatch"))</f>
        <v/>
      </c>
      <c r="J448" s="6"/>
    </row>
    <row r="449" customFormat="false" ht="23.85" hidden="false" customHeight="false" outlineLevel="0" collapsed="false">
      <c r="A449" s="5" t="s">
        <v>25</v>
      </c>
      <c r="B449" s="5" t="s">
        <v>279</v>
      </c>
      <c r="C449" s="5" t="s">
        <v>59</v>
      </c>
      <c r="D449" s="6" t="s">
        <v>65</v>
      </c>
      <c r="E449" s="5" t="s">
        <v>29</v>
      </c>
      <c r="F449" s="5" t="s">
        <v>31</v>
      </c>
      <c r="G449" s="7"/>
      <c r="H449" s="5" t="str">
        <f aca="false">IF($G449="","",IF(LOWER(TRIM($G449))=LOWER(TRIM($F449)),"Match","Mismatch"))</f>
        <v/>
      </c>
      <c r="I449" s="5" t="str">
        <f aca="false">IF($G449="","",IF(LOWER(TRIM($G449))=LOWER(TRIM($E449)),"Match","Mismatch"))</f>
        <v/>
      </c>
      <c r="J449" s="6"/>
    </row>
    <row r="450" customFormat="false" ht="23.85" hidden="false" customHeight="false" outlineLevel="0" collapsed="false">
      <c r="A450" s="5" t="s">
        <v>25</v>
      </c>
      <c r="B450" s="5" t="s">
        <v>279</v>
      </c>
      <c r="C450" s="5" t="s">
        <v>59</v>
      </c>
      <c r="D450" s="6" t="s">
        <v>66</v>
      </c>
      <c r="E450" s="5" t="s">
        <v>29</v>
      </c>
      <c r="F450" s="5" t="s">
        <v>31</v>
      </c>
      <c r="G450" s="7"/>
      <c r="H450" s="5" t="str">
        <f aca="false">IF($G450="","",IF(LOWER(TRIM($G450))=LOWER(TRIM($F450)),"Match","Mismatch"))</f>
        <v/>
      </c>
      <c r="I450" s="5" t="str">
        <f aca="false">IF($G450="","",IF(LOWER(TRIM($G450))=LOWER(TRIM($E450)),"Match","Mismatch"))</f>
        <v/>
      </c>
      <c r="J450" s="6"/>
    </row>
    <row r="451" customFormat="false" ht="15" hidden="false" customHeight="false" outlineLevel="0" collapsed="false">
      <c r="A451" s="5" t="s">
        <v>25</v>
      </c>
      <c r="B451" s="5" t="s">
        <v>279</v>
      </c>
      <c r="C451" s="5" t="s">
        <v>67</v>
      </c>
      <c r="D451" s="6" t="s">
        <v>68</v>
      </c>
      <c r="E451" s="5" t="s">
        <v>284</v>
      </c>
      <c r="F451" s="5" t="s">
        <v>285</v>
      </c>
      <c r="G451" s="7"/>
      <c r="H451" s="5" t="str">
        <f aca="false">IF($G451="","",IF(LOWER(TRIM($G451))=LOWER(TRIM($F451)),"Match","Mismatch"))</f>
        <v/>
      </c>
      <c r="I451" s="5" t="str">
        <f aca="false">IF($G451="","",IF(LOWER(TRIM($G451))=LOWER(TRIM($E451)),"Match","Mismatch"))</f>
        <v/>
      </c>
      <c r="J451" s="6"/>
    </row>
    <row r="452" customFormat="false" ht="15" hidden="false" customHeight="false" outlineLevel="0" collapsed="false">
      <c r="A452" s="5" t="s">
        <v>25</v>
      </c>
      <c r="B452" s="5" t="s">
        <v>279</v>
      </c>
      <c r="C452" s="5" t="s">
        <v>70</v>
      </c>
      <c r="D452" s="6" t="s">
        <v>71</v>
      </c>
      <c r="E452" s="5" t="s">
        <v>286</v>
      </c>
      <c r="F452" s="5" t="s">
        <v>287</v>
      </c>
      <c r="G452" s="7"/>
      <c r="H452" s="5" t="str">
        <f aca="false">IF($G452="","",IF(LOWER(TRIM($G452))=LOWER(TRIM($F452)),"Match","Mismatch"))</f>
        <v/>
      </c>
      <c r="I452" s="5" t="str">
        <f aca="false">IF($G452="","",IF(LOWER(TRIM($G452))=LOWER(TRIM($E452)),"Match","Mismatch"))</f>
        <v/>
      </c>
      <c r="J452" s="6"/>
    </row>
    <row r="453" customFormat="false" ht="15" hidden="false" customHeight="false" outlineLevel="0" collapsed="false">
      <c r="A453" s="5" t="s">
        <v>25</v>
      </c>
      <c r="B453" s="5" t="s">
        <v>279</v>
      </c>
      <c r="C453" s="5" t="s">
        <v>70</v>
      </c>
      <c r="D453" s="6" t="s">
        <v>73</v>
      </c>
      <c r="E453" s="5" t="s">
        <v>288</v>
      </c>
      <c r="F453" s="5" t="s">
        <v>289</v>
      </c>
      <c r="G453" s="7"/>
      <c r="H453" s="5" t="str">
        <f aca="false">IF($G453="","",IF(LOWER(TRIM($G453))=LOWER(TRIM($F453)),"Match","Mismatch"))</f>
        <v/>
      </c>
      <c r="I453" s="5" t="str">
        <f aca="false">IF($G453="","",IF(LOWER(TRIM($G453))=LOWER(TRIM($E453)),"Match","Mismatch"))</f>
        <v/>
      </c>
      <c r="J453" s="6"/>
    </row>
    <row r="454" customFormat="false" ht="15" hidden="false" customHeight="false" outlineLevel="0" collapsed="false">
      <c r="A454" s="5" t="s">
        <v>25</v>
      </c>
      <c r="B454" s="5" t="s">
        <v>279</v>
      </c>
      <c r="C454" s="5" t="s">
        <v>70</v>
      </c>
      <c r="D454" s="6" t="s">
        <v>75</v>
      </c>
      <c r="E454" s="5" t="s">
        <v>290</v>
      </c>
      <c r="F454" s="5" t="s">
        <v>291</v>
      </c>
      <c r="G454" s="7"/>
      <c r="H454" s="5" t="str">
        <f aca="false">IF($G454="","",IF(LOWER(TRIM($G454))=LOWER(TRIM($F454)),"Match","Mismatch"))</f>
        <v/>
      </c>
      <c r="I454" s="5" t="str">
        <f aca="false">IF($G454="","",IF(LOWER(TRIM($G454))=LOWER(TRIM($E454)),"Match","Mismatch"))</f>
        <v/>
      </c>
      <c r="J454" s="6"/>
    </row>
    <row r="455" customFormat="false" ht="15" hidden="false" customHeight="false" outlineLevel="0" collapsed="false">
      <c r="A455" s="5" t="s">
        <v>25</v>
      </c>
      <c r="B455" s="5" t="s">
        <v>279</v>
      </c>
      <c r="C455" s="5" t="s">
        <v>70</v>
      </c>
      <c r="D455" s="6" t="s">
        <v>77</v>
      </c>
      <c r="E455" s="5" t="s">
        <v>292</v>
      </c>
      <c r="F455" s="5" t="s">
        <v>293</v>
      </c>
      <c r="G455" s="7"/>
      <c r="H455" s="5" t="str">
        <f aca="false">IF($G455="","",IF(LOWER(TRIM($G455))=LOWER(TRIM($F455)),"Match","Mismatch"))</f>
        <v/>
      </c>
      <c r="I455" s="5" t="str">
        <f aca="false">IF($G455="","",IF(LOWER(TRIM($G455))=LOWER(TRIM($E455)),"Match","Mismatch"))</f>
        <v/>
      </c>
      <c r="J455" s="6"/>
    </row>
    <row r="456" customFormat="false" ht="15" hidden="false" customHeight="false" outlineLevel="0" collapsed="false">
      <c r="A456" s="5" t="s">
        <v>25</v>
      </c>
      <c r="B456" s="5" t="s">
        <v>279</v>
      </c>
      <c r="C456" s="5" t="s">
        <v>70</v>
      </c>
      <c r="D456" s="6" t="s">
        <v>80</v>
      </c>
      <c r="E456" s="5"/>
      <c r="F456" s="5" t="s">
        <v>294</v>
      </c>
      <c r="G456" s="7"/>
      <c r="H456" s="5" t="str">
        <f aca="false">IF($G456="","",IF(LOWER(TRIM($G456))=LOWER(TRIM($F456)),"Match","Mismatch"))</f>
        <v/>
      </c>
      <c r="I456" s="5" t="str">
        <f aca="false">IF($G456="","",IF(LOWER(TRIM($G456))=LOWER(TRIM($E456)),"Match","Mismatch"))</f>
        <v/>
      </c>
      <c r="J456" s="6"/>
    </row>
    <row r="457" customFormat="false" ht="15" hidden="false" customHeight="false" outlineLevel="0" collapsed="false">
      <c r="A457" s="5" t="s">
        <v>25</v>
      </c>
      <c r="B457" s="5" t="s">
        <v>279</v>
      </c>
      <c r="C457" s="5" t="s">
        <v>70</v>
      </c>
      <c r="D457" s="6" t="s">
        <v>82</v>
      </c>
      <c r="E457" s="5" t="s">
        <v>295</v>
      </c>
      <c r="F457" s="5" t="s">
        <v>296</v>
      </c>
      <c r="G457" s="7"/>
      <c r="H457" s="5" t="str">
        <f aca="false">IF($G457="","",IF(LOWER(TRIM($G457))=LOWER(TRIM($F457)),"Match","Mismatch"))</f>
        <v/>
      </c>
      <c r="I457" s="5" t="str">
        <f aca="false">IF($G457="","",IF(LOWER(TRIM($G457))=LOWER(TRIM($E457)),"Match","Mismatch"))</f>
        <v/>
      </c>
      <c r="J457" s="6"/>
    </row>
    <row r="458" customFormat="false" ht="15" hidden="false" customHeight="false" outlineLevel="0" collapsed="false">
      <c r="A458" s="5" t="s">
        <v>25</v>
      </c>
      <c r="B458" s="5" t="s">
        <v>279</v>
      </c>
      <c r="C458" s="5" t="s">
        <v>70</v>
      </c>
      <c r="D458" s="6" t="s">
        <v>84</v>
      </c>
      <c r="E458" s="5" t="s">
        <v>297</v>
      </c>
      <c r="F458" s="5" t="s">
        <v>101</v>
      </c>
      <c r="G458" s="7"/>
      <c r="H458" s="5" t="str">
        <f aca="false">IF($G458="","",IF(LOWER(TRIM($G458))=LOWER(TRIM($F458)),"Match","Mismatch"))</f>
        <v/>
      </c>
      <c r="I458" s="5" t="str">
        <f aca="false">IF($G458="","",IF(LOWER(TRIM($G458))=LOWER(TRIM($E458)),"Match","Mismatch"))</f>
        <v/>
      </c>
      <c r="J458" s="6"/>
    </row>
    <row r="459" customFormat="false" ht="15" hidden="false" customHeight="false" outlineLevel="0" collapsed="false">
      <c r="A459" s="5" t="s">
        <v>25</v>
      </c>
      <c r="B459" s="5" t="s">
        <v>279</v>
      </c>
      <c r="C459" s="5" t="s">
        <v>70</v>
      </c>
      <c r="D459" s="6" t="s">
        <v>86</v>
      </c>
      <c r="E459" s="5" t="s">
        <v>298</v>
      </c>
      <c r="F459" s="5" t="s">
        <v>299</v>
      </c>
      <c r="G459" s="7"/>
      <c r="H459" s="5" t="str">
        <f aca="false">IF($G459="","",IF(LOWER(TRIM($G459))=LOWER(TRIM($F459)),"Match","Mismatch"))</f>
        <v/>
      </c>
      <c r="I459" s="5" t="str">
        <f aca="false">IF($G459="","",IF(LOWER(TRIM($G459))=LOWER(TRIM($E459)),"Match","Mismatch"))</f>
        <v/>
      </c>
      <c r="J459" s="6"/>
    </row>
    <row r="460" customFormat="false" ht="23.85" hidden="false" customHeight="false" outlineLevel="0" collapsed="false">
      <c r="A460" s="5" t="s">
        <v>25</v>
      </c>
      <c r="B460" s="5" t="s">
        <v>300</v>
      </c>
      <c r="C460" s="5" t="s">
        <v>27</v>
      </c>
      <c r="D460" s="6" t="s">
        <v>28</v>
      </c>
      <c r="E460" s="5" t="s">
        <v>29</v>
      </c>
      <c r="F460" s="5" t="s">
        <v>31</v>
      </c>
      <c r="G460" s="7"/>
      <c r="H460" s="5" t="str">
        <f aca="false">IF($G460="","",IF(LOWER(TRIM($G460))=LOWER(TRIM($F460)),"Match","Mismatch"))</f>
        <v/>
      </c>
      <c r="I460" s="5" t="str">
        <f aca="false">IF($G460="","",IF(LOWER(TRIM($G460))=LOWER(TRIM($E460)),"Match","Mismatch"))</f>
        <v/>
      </c>
      <c r="J460" s="6"/>
    </row>
    <row r="461" customFormat="false" ht="23.85" hidden="false" customHeight="false" outlineLevel="0" collapsed="false">
      <c r="A461" s="5" t="s">
        <v>25</v>
      </c>
      <c r="B461" s="5" t="s">
        <v>300</v>
      </c>
      <c r="C461" s="5" t="s">
        <v>27</v>
      </c>
      <c r="D461" s="6" t="s">
        <v>30</v>
      </c>
      <c r="E461" s="5"/>
      <c r="F461" s="5" t="s">
        <v>31</v>
      </c>
      <c r="G461" s="7"/>
      <c r="H461" s="5" t="str">
        <f aca="false">IF($G461="","",IF(LOWER(TRIM($G461))=LOWER(TRIM($F461)),"Match","Mismatch"))</f>
        <v/>
      </c>
      <c r="I461" s="5" t="str">
        <f aca="false">IF($G461="","",IF(LOWER(TRIM($G461))=LOWER(TRIM($E461)),"Match","Mismatch"))</f>
        <v/>
      </c>
      <c r="J461" s="6"/>
    </row>
    <row r="462" customFormat="false" ht="35.05" hidden="false" customHeight="false" outlineLevel="0" collapsed="false">
      <c r="A462" s="5" t="s">
        <v>25</v>
      </c>
      <c r="B462" s="5" t="s">
        <v>300</v>
      </c>
      <c r="C462" s="5" t="s">
        <v>27</v>
      </c>
      <c r="D462" s="6" t="s">
        <v>32</v>
      </c>
      <c r="E462" s="5" t="s">
        <v>29</v>
      </c>
      <c r="F462" s="5" t="s">
        <v>31</v>
      </c>
      <c r="G462" s="7"/>
      <c r="H462" s="5" t="str">
        <f aca="false">IF($G462="","",IF(LOWER(TRIM($G462))=LOWER(TRIM($F462)),"Match","Mismatch"))</f>
        <v/>
      </c>
      <c r="I462" s="5" t="str">
        <f aca="false">IF($G462="","",IF(LOWER(TRIM($G462))=LOWER(TRIM($E462)),"Match","Mismatch"))</f>
        <v/>
      </c>
      <c r="J462" s="6"/>
    </row>
    <row r="463" customFormat="false" ht="35.05" hidden="false" customHeight="false" outlineLevel="0" collapsed="false">
      <c r="A463" s="5" t="s">
        <v>25</v>
      </c>
      <c r="B463" s="5" t="s">
        <v>300</v>
      </c>
      <c r="C463" s="5" t="s">
        <v>27</v>
      </c>
      <c r="D463" s="6" t="s">
        <v>33</v>
      </c>
      <c r="E463" s="5"/>
      <c r="F463" s="5" t="s">
        <v>31</v>
      </c>
      <c r="G463" s="7"/>
      <c r="H463" s="5" t="str">
        <f aca="false">IF($G463="","",IF(LOWER(TRIM($G463))=LOWER(TRIM($F463)),"Match","Mismatch"))</f>
        <v/>
      </c>
      <c r="I463" s="5" t="str">
        <f aca="false">IF($G463="","",IF(LOWER(TRIM($G463))=LOWER(TRIM($E463)),"Match","Mismatch"))</f>
        <v/>
      </c>
      <c r="J463" s="6"/>
    </row>
    <row r="464" customFormat="false" ht="23.85" hidden="false" customHeight="false" outlineLevel="0" collapsed="false">
      <c r="A464" s="5" t="s">
        <v>25</v>
      </c>
      <c r="B464" s="5" t="s">
        <v>300</v>
      </c>
      <c r="C464" s="5" t="s">
        <v>27</v>
      </c>
      <c r="D464" s="6" t="s">
        <v>34</v>
      </c>
      <c r="E464" s="5" t="s">
        <v>29</v>
      </c>
      <c r="F464" s="5" t="s">
        <v>31</v>
      </c>
      <c r="G464" s="7"/>
      <c r="H464" s="5" t="str">
        <f aca="false">IF($G464="","",IF(LOWER(TRIM($G464))=LOWER(TRIM($F464)),"Match","Mismatch"))</f>
        <v/>
      </c>
      <c r="I464" s="5" t="str">
        <f aca="false">IF($G464="","",IF(LOWER(TRIM($G464))=LOWER(TRIM($E464)),"Match","Mismatch"))</f>
        <v/>
      </c>
      <c r="J464" s="6"/>
    </row>
    <row r="465" customFormat="false" ht="15" hidden="false" customHeight="false" outlineLevel="0" collapsed="false">
      <c r="A465" s="5" t="s">
        <v>25</v>
      </c>
      <c r="B465" s="5" t="s">
        <v>300</v>
      </c>
      <c r="C465" s="5" t="s">
        <v>27</v>
      </c>
      <c r="D465" s="6" t="s">
        <v>35</v>
      </c>
      <c r="E465" s="5" t="s">
        <v>301</v>
      </c>
      <c r="F465" s="5"/>
      <c r="G465" s="7"/>
      <c r="H465" s="5" t="str">
        <f aca="false">IF($G465="","",IF(LOWER(TRIM($G465))=LOWER(TRIM($F465)),"Match","Mismatch"))</f>
        <v/>
      </c>
      <c r="I465" s="5" t="str">
        <f aca="false">IF($G465="","",IF(LOWER(TRIM($G465))=LOWER(TRIM($E465)),"Match","Mismatch"))</f>
        <v/>
      </c>
      <c r="J465" s="6"/>
    </row>
    <row r="466" customFormat="false" ht="23.85" hidden="false" customHeight="false" outlineLevel="0" collapsed="false">
      <c r="A466" s="5" t="s">
        <v>25</v>
      </c>
      <c r="B466" s="5" t="s">
        <v>300</v>
      </c>
      <c r="C466" s="5" t="s">
        <v>27</v>
      </c>
      <c r="D466" s="6" t="s">
        <v>37</v>
      </c>
      <c r="E466" s="5"/>
      <c r="F466" s="5" t="s">
        <v>31</v>
      </c>
      <c r="G466" s="7"/>
      <c r="H466" s="5" t="str">
        <f aca="false">IF($G466="","",IF(LOWER(TRIM($G466))=LOWER(TRIM($F466)),"Match","Mismatch"))</f>
        <v/>
      </c>
      <c r="I466" s="5" t="str">
        <f aca="false">IF($G466="","",IF(LOWER(TRIM($G466))=LOWER(TRIM($E466)),"Match","Mismatch"))</f>
        <v/>
      </c>
      <c r="J466" s="6"/>
    </row>
    <row r="467" customFormat="false" ht="23.85" hidden="false" customHeight="false" outlineLevel="0" collapsed="false">
      <c r="A467" s="5" t="s">
        <v>25</v>
      </c>
      <c r="B467" s="5" t="s">
        <v>300</v>
      </c>
      <c r="C467" s="5" t="s">
        <v>27</v>
      </c>
      <c r="D467" s="6" t="s">
        <v>38</v>
      </c>
      <c r="E467" s="5" t="s">
        <v>29</v>
      </c>
      <c r="F467" s="5" t="s">
        <v>31</v>
      </c>
      <c r="G467" s="7"/>
      <c r="H467" s="5" t="str">
        <f aca="false">IF($G467="","",IF(LOWER(TRIM($G467))=LOWER(TRIM($F467)),"Match","Mismatch"))</f>
        <v/>
      </c>
      <c r="I467" s="5" t="str">
        <f aca="false">IF($G467="","",IF(LOWER(TRIM($G467))=LOWER(TRIM($E467)),"Match","Mismatch"))</f>
        <v/>
      </c>
      <c r="J467" s="6"/>
    </row>
    <row r="468" customFormat="false" ht="23.85" hidden="false" customHeight="false" outlineLevel="0" collapsed="false">
      <c r="A468" s="5" t="s">
        <v>25</v>
      </c>
      <c r="B468" s="5" t="s">
        <v>300</v>
      </c>
      <c r="C468" s="5" t="s">
        <v>39</v>
      </c>
      <c r="D468" s="6" t="s">
        <v>42</v>
      </c>
      <c r="E468" s="5" t="s">
        <v>41</v>
      </c>
      <c r="F468" s="5" t="s">
        <v>43</v>
      </c>
      <c r="G468" s="7"/>
      <c r="H468" s="5" t="str">
        <f aca="false">IF($G468="","",IF(LOWER(TRIM($G468))=LOWER(TRIM($F468)),"Match","Mismatch"))</f>
        <v/>
      </c>
      <c r="I468" s="5" t="str">
        <f aca="false">IF($G468="","",IF(LOWER(TRIM($G468))=LOWER(TRIM($E468)),"Match","Mismatch"))</f>
        <v/>
      </c>
      <c r="J468" s="6"/>
    </row>
    <row r="469" customFormat="false" ht="15" hidden="false" customHeight="false" outlineLevel="0" collapsed="false">
      <c r="A469" s="5" t="s">
        <v>25</v>
      </c>
      <c r="B469" s="5" t="s">
        <v>300</v>
      </c>
      <c r="C469" s="5" t="s">
        <v>39</v>
      </c>
      <c r="D469" s="6" t="s">
        <v>45</v>
      </c>
      <c r="E469" s="5" t="s">
        <v>41</v>
      </c>
      <c r="F469" s="5"/>
      <c r="G469" s="7"/>
      <c r="H469" s="5" t="str">
        <f aca="false">IF($G469="","",IF(LOWER(TRIM($G469))=LOWER(TRIM($F469)),"Match","Mismatch"))</f>
        <v/>
      </c>
      <c r="I469" s="5" t="str">
        <f aca="false">IF($G469="","",IF(LOWER(TRIM($G469))=LOWER(TRIM($E469)),"Match","Mismatch"))</f>
        <v/>
      </c>
      <c r="J469" s="6"/>
    </row>
    <row r="470" customFormat="false" ht="15" hidden="false" customHeight="false" outlineLevel="0" collapsed="false">
      <c r="A470" s="5" t="s">
        <v>25</v>
      </c>
      <c r="B470" s="5" t="s">
        <v>300</v>
      </c>
      <c r="C470" s="5" t="s">
        <v>39</v>
      </c>
      <c r="D470" s="6" t="s">
        <v>47</v>
      </c>
      <c r="E470" s="5" t="s">
        <v>41</v>
      </c>
      <c r="F470" s="5" t="s">
        <v>43</v>
      </c>
      <c r="G470" s="7"/>
      <c r="H470" s="5" t="str">
        <f aca="false">IF($G470="","",IF(LOWER(TRIM($G470))=LOWER(TRIM($F470)),"Match","Mismatch"))</f>
        <v/>
      </c>
      <c r="I470" s="5" t="str">
        <f aca="false">IF($G470="","",IF(LOWER(TRIM($G470))=LOWER(TRIM($E470)),"Match","Mismatch"))</f>
        <v/>
      </c>
      <c r="J470" s="6"/>
    </row>
    <row r="471" customFormat="false" ht="23.85" hidden="false" customHeight="false" outlineLevel="0" collapsed="false">
      <c r="A471" s="5" t="s">
        <v>25</v>
      </c>
      <c r="B471" s="5" t="s">
        <v>300</v>
      </c>
      <c r="C471" s="5" t="s">
        <v>39</v>
      </c>
      <c r="D471" s="6" t="s">
        <v>50</v>
      </c>
      <c r="E471" s="5" t="s">
        <v>41</v>
      </c>
      <c r="F471" s="5" t="s">
        <v>55</v>
      </c>
      <c r="G471" s="7"/>
      <c r="H471" s="5" t="str">
        <f aca="false">IF($G471="","",IF(LOWER(TRIM($G471))=LOWER(TRIM($F471)),"Match","Mismatch"))</f>
        <v/>
      </c>
      <c r="I471" s="5" t="str">
        <f aca="false">IF($G471="","",IF(LOWER(TRIM($G471))=LOWER(TRIM($E471)),"Match","Mismatch"))</f>
        <v/>
      </c>
      <c r="J471" s="6"/>
    </row>
    <row r="472" customFormat="false" ht="15" hidden="false" customHeight="false" outlineLevel="0" collapsed="false">
      <c r="A472" s="5" t="s">
        <v>25</v>
      </c>
      <c r="B472" s="5" t="s">
        <v>300</v>
      </c>
      <c r="C472" s="5" t="s">
        <v>39</v>
      </c>
      <c r="D472" s="6" t="s">
        <v>58</v>
      </c>
      <c r="E472" s="5" t="s">
        <v>41</v>
      </c>
      <c r="F472" s="5" t="s">
        <v>43</v>
      </c>
      <c r="G472" s="7"/>
      <c r="H472" s="5" t="str">
        <f aca="false">IF($G472="","",IF(LOWER(TRIM($G472))=LOWER(TRIM($F472)),"Match","Mismatch"))</f>
        <v/>
      </c>
      <c r="I472" s="5" t="str">
        <f aca="false">IF($G472="","",IF(LOWER(TRIM($G472))=LOWER(TRIM($E472)),"Match","Mismatch"))</f>
        <v/>
      </c>
      <c r="J472" s="6"/>
    </row>
    <row r="473" customFormat="false" ht="15" hidden="false" customHeight="false" outlineLevel="0" collapsed="false">
      <c r="A473" s="5" t="s">
        <v>25</v>
      </c>
      <c r="B473" s="5" t="s">
        <v>300</v>
      </c>
      <c r="C473" s="5" t="s">
        <v>59</v>
      </c>
      <c r="D473" s="6" t="s">
        <v>60</v>
      </c>
      <c r="E473" s="5" t="s">
        <v>29</v>
      </c>
      <c r="F473" s="5" t="s">
        <v>31</v>
      </c>
      <c r="G473" s="7"/>
      <c r="H473" s="5" t="str">
        <f aca="false">IF($G473="","",IF(LOWER(TRIM($G473))=LOWER(TRIM($F473)),"Match","Mismatch"))</f>
        <v/>
      </c>
      <c r="I473" s="5" t="str">
        <f aca="false">IF($G473="","",IF(LOWER(TRIM($G473))=LOWER(TRIM($E473)),"Match","Mismatch"))</f>
        <v/>
      </c>
      <c r="J473" s="6"/>
    </row>
    <row r="474" customFormat="false" ht="23.85" hidden="false" customHeight="false" outlineLevel="0" collapsed="false">
      <c r="A474" s="5" t="s">
        <v>25</v>
      </c>
      <c r="B474" s="5" t="s">
        <v>300</v>
      </c>
      <c r="C474" s="5" t="s">
        <v>59</v>
      </c>
      <c r="D474" s="6" t="s">
        <v>61</v>
      </c>
      <c r="E474" s="5" t="s">
        <v>29</v>
      </c>
      <c r="F474" s="5" t="s">
        <v>31</v>
      </c>
      <c r="G474" s="7"/>
      <c r="H474" s="5" t="str">
        <f aca="false">IF($G474="","",IF(LOWER(TRIM($G474))=LOWER(TRIM($F474)),"Match","Mismatch"))</f>
        <v/>
      </c>
      <c r="I474" s="5" t="str">
        <f aca="false">IF($G474="","",IF(LOWER(TRIM($G474))=LOWER(TRIM($E474)),"Match","Mismatch"))</f>
        <v/>
      </c>
      <c r="J474" s="6"/>
    </row>
    <row r="475" customFormat="false" ht="15" hidden="false" customHeight="false" outlineLevel="0" collapsed="false">
      <c r="A475" s="5" t="s">
        <v>25</v>
      </c>
      <c r="B475" s="5" t="s">
        <v>300</v>
      </c>
      <c r="C475" s="5" t="s">
        <v>59</v>
      </c>
      <c r="D475" s="6" t="s">
        <v>62</v>
      </c>
      <c r="E475" s="5" t="s">
        <v>29</v>
      </c>
      <c r="F475" s="5" t="s">
        <v>31</v>
      </c>
      <c r="G475" s="7"/>
      <c r="H475" s="5" t="str">
        <f aca="false">IF($G475="","",IF(LOWER(TRIM($G475))=LOWER(TRIM($F475)),"Match","Mismatch"))</f>
        <v/>
      </c>
      <c r="I475" s="5" t="str">
        <f aca="false">IF($G475="","",IF(LOWER(TRIM($G475))=LOWER(TRIM($E475)),"Match","Mismatch"))</f>
        <v/>
      </c>
      <c r="J475" s="6"/>
    </row>
    <row r="476" customFormat="false" ht="15" hidden="false" customHeight="false" outlineLevel="0" collapsed="false">
      <c r="A476" s="5" t="s">
        <v>25</v>
      </c>
      <c r="B476" s="5" t="s">
        <v>300</v>
      </c>
      <c r="C476" s="5" t="s">
        <v>59</v>
      </c>
      <c r="D476" s="6" t="s">
        <v>63</v>
      </c>
      <c r="E476" s="5" t="s">
        <v>302</v>
      </c>
      <c r="F476" s="5"/>
      <c r="G476" s="7"/>
      <c r="H476" s="5" t="str">
        <f aca="false">IF($G476="","",IF(LOWER(TRIM($G476))=LOWER(TRIM($F476)),"Match","Mismatch"))</f>
        <v/>
      </c>
      <c r="I476" s="5" t="str">
        <f aca="false">IF($G476="","",IF(LOWER(TRIM($G476))=LOWER(TRIM($E476)),"Match","Mismatch"))</f>
        <v/>
      </c>
      <c r="J476" s="6"/>
    </row>
    <row r="477" customFormat="false" ht="23.85" hidden="false" customHeight="false" outlineLevel="0" collapsed="false">
      <c r="A477" s="5" t="s">
        <v>25</v>
      </c>
      <c r="B477" s="5" t="s">
        <v>300</v>
      </c>
      <c r="C477" s="5" t="s">
        <v>59</v>
      </c>
      <c r="D477" s="6" t="s">
        <v>66</v>
      </c>
      <c r="E477" s="5" t="s">
        <v>29</v>
      </c>
      <c r="F477" s="5" t="s">
        <v>31</v>
      </c>
      <c r="G477" s="7"/>
      <c r="H477" s="5" t="str">
        <f aca="false">IF($G477="","",IF(LOWER(TRIM($G477))=LOWER(TRIM($F477)),"Match","Mismatch"))</f>
        <v/>
      </c>
      <c r="I477" s="5" t="str">
        <f aca="false">IF($G477="","",IF(LOWER(TRIM($G477))=LOWER(TRIM($E477)),"Match","Mismatch"))</f>
        <v/>
      </c>
      <c r="J477" s="6"/>
    </row>
    <row r="478" customFormat="false" ht="15" hidden="false" customHeight="false" outlineLevel="0" collapsed="false">
      <c r="A478" s="5" t="s">
        <v>25</v>
      </c>
      <c r="B478" s="5" t="s">
        <v>300</v>
      </c>
      <c r="C478" s="5" t="s">
        <v>70</v>
      </c>
      <c r="D478" s="6" t="s">
        <v>71</v>
      </c>
      <c r="E478" s="5" t="s">
        <v>303</v>
      </c>
      <c r="F478" s="5" t="s">
        <v>304</v>
      </c>
      <c r="G478" s="7"/>
      <c r="H478" s="5" t="str">
        <f aca="false">IF($G478="","",IF(LOWER(TRIM($G478))=LOWER(TRIM($F478)),"Match","Mismatch"))</f>
        <v/>
      </c>
      <c r="I478" s="5" t="str">
        <f aca="false">IF($G478="","",IF(LOWER(TRIM($G478))=LOWER(TRIM($E478)),"Match","Mismatch"))</f>
        <v/>
      </c>
      <c r="J478" s="6"/>
    </row>
    <row r="479" customFormat="false" ht="15" hidden="false" customHeight="false" outlineLevel="0" collapsed="false">
      <c r="A479" s="5" t="s">
        <v>25</v>
      </c>
      <c r="B479" s="5" t="s">
        <v>300</v>
      </c>
      <c r="C479" s="5" t="s">
        <v>70</v>
      </c>
      <c r="D479" s="6" t="s">
        <v>73</v>
      </c>
      <c r="E479" s="5" t="s">
        <v>305</v>
      </c>
      <c r="F479" s="5" t="s">
        <v>306</v>
      </c>
      <c r="G479" s="7"/>
      <c r="H479" s="5" t="str">
        <f aca="false">IF($G479="","",IF(LOWER(TRIM($G479))=LOWER(TRIM($F479)),"Match","Mismatch"))</f>
        <v/>
      </c>
      <c r="I479" s="5" t="str">
        <f aca="false">IF($G479="","",IF(LOWER(TRIM($G479))=LOWER(TRIM($E479)),"Match","Mismatch"))</f>
        <v/>
      </c>
      <c r="J479" s="6"/>
    </row>
    <row r="480" customFormat="false" ht="15" hidden="false" customHeight="false" outlineLevel="0" collapsed="false">
      <c r="A480" s="5" t="s">
        <v>25</v>
      </c>
      <c r="B480" s="5" t="s">
        <v>300</v>
      </c>
      <c r="C480" s="5" t="s">
        <v>70</v>
      </c>
      <c r="D480" s="6" t="s">
        <v>75</v>
      </c>
      <c r="E480" s="5" t="s">
        <v>307</v>
      </c>
      <c r="F480" s="5" t="s">
        <v>308</v>
      </c>
      <c r="G480" s="7"/>
      <c r="H480" s="5" t="str">
        <f aca="false">IF($G480="","",IF(LOWER(TRIM($G480))=LOWER(TRIM($F480)),"Match","Mismatch"))</f>
        <v/>
      </c>
      <c r="I480" s="5" t="str">
        <f aca="false">IF($G480="","",IF(LOWER(TRIM($G480))=LOWER(TRIM($E480)),"Match","Mismatch"))</f>
        <v/>
      </c>
      <c r="J480" s="6"/>
    </row>
    <row r="481" customFormat="false" ht="15" hidden="false" customHeight="false" outlineLevel="0" collapsed="false">
      <c r="A481" s="5" t="s">
        <v>25</v>
      </c>
      <c r="B481" s="5" t="s">
        <v>300</v>
      </c>
      <c r="C481" s="5" t="s">
        <v>70</v>
      </c>
      <c r="D481" s="6" t="s">
        <v>77</v>
      </c>
      <c r="E481" s="5" t="s">
        <v>309</v>
      </c>
      <c r="F481" s="5" t="s">
        <v>310</v>
      </c>
      <c r="G481" s="7"/>
      <c r="H481" s="5" t="str">
        <f aca="false">IF($G481="","",IF(LOWER(TRIM($G481))=LOWER(TRIM($F481)),"Match","Mismatch"))</f>
        <v/>
      </c>
      <c r="I481" s="5" t="str">
        <f aca="false">IF($G481="","",IF(LOWER(TRIM($G481))=LOWER(TRIM($E481)),"Match","Mismatch"))</f>
        <v/>
      </c>
      <c r="J481" s="6"/>
    </row>
    <row r="482" customFormat="false" ht="15" hidden="false" customHeight="false" outlineLevel="0" collapsed="false">
      <c r="A482" s="5" t="s">
        <v>25</v>
      </c>
      <c r="B482" s="5" t="s">
        <v>300</v>
      </c>
      <c r="C482" s="5" t="s">
        <v>70</v>
      </c>
      <c r="D482" s="6" t="s">
        <v>80</v>
      </c>
      <c r="E482" s="5" t="s">
        <v>311</v>
      </c>
      <c r="F482" s="5" t="s">
        <v>312</v>
      </c>
      <c r="G482" s="7"/>
      <c r="H482" s="5" t="str">
        <f aca="false">IF($G482="","",IF(LOWER(TRIM($G482))=LOWER(TRIM($F482)),"Match","Mismatch"))</f>
        <v/>
      </c>
      <c r="I482" s="5" t="str">
        <f aca="false">IF($G482="","",IF(LOWER(TRIM($G482))=LOWER(TRIM($E482)),"Match","Mismatch"))</f>
        <v/>
      </c>
      <c r="J482" s="6"/>
    </row>
    <row r="483" customFormat="false" ht="15" hidden="false" customHeight="false" outlineLevel="0" collapsed="false">
      <c r="A483" s="5" t="s">
        <v>25</v>
      </c>
      <c r="B483" s="5" t="s">
        <v>300</v>
      </c>
      <c r="C483" s="5" t="s">
        <v>70</v>
      </c>
      <c r="D483" s="6" t="s">
        <v>82</v>
      </c>
      <c r="E483" s="5" t="s">
        <v>313</v>
      </c>
      <c r="F483" s="5" t="s">
        <v>314</v>
      </c>
      <c r="G483" s="7"/>
      <c r="H483" s="5" t="str">
        <f aca="false">IF($G483="","",IF(LOWER(TRIM($G483))=LOWER(TRIM($F483)),"Match","Mismatch"))</f>
        <v/>
      </c>
      <c r="I483" s="5" t="str">
        <f aca="false">IF($G483="","",IF(LOWER(TRIM($G483))=LOWER(TRIM($E483)),"Match","Mismatch"))</f>
        <v/>
      </c>
      <c r="J483" s="6"/>
    </row>
    <row r="484" customFormat="false" ht="15" hidden="false" customHeight="false" outlineLevel="0" collapsed="false">
      <c r="A484" s="5" t="s">
        <v>25</v>
      </c>
      <c r="B484" s="5" t="s">
        <v>300</v>
      </c>
      <c r="C484" s="5" t="s">
        <v>70</v>
      </c>
      <c r="D484" s="6" t="s">
        <v>84</v>
      </c>
      <c r="E484" s="5" t="s">
        <v>315</v>
      </c>
      <c r="F484" s="5" t="s">
        <v>316</v>
      </c>
      <c r="G484" s="7"/>
      <c r="H484" s="5" t="str">
        <f aca="false">IF($G484="","",IF(LOWER(TRIM($G484))=LOWER(TRIM($F484)),"Match","Mismatch"))</f>
        <v/>
      </c>
      <c r="I484" s="5" t="str">
        <f aca="false">IF($G484="","",IF(LOWER(TRIM($G484))=LOWER(TRIM($E484)),"Match","Mismatch"))</f>
        <v/>
      </c>
      <c r="J484" s="6"/>
    </row>
    <row r="485" customFormat="false" ht="15" hidden="false" customHeight="false" outlineLevel="0" collapsed="false">
      <c r="A485" s="5" t="s">
        <v>25</v>
      </c>
      <c r="B485" s="5" t="s">
        <v>300</v>
      </c>
      <c r="C485" s="5" t="s">
        <v>70</v>
      </c>
      <c r="D485" s="6" t="s">
        <v>86</v>
      </c>
      <c r="E485" s="5" t="s">
        <v>309</v>
      </c>
      <c r="F485" s="5" t="s">
        <v>317</v>
      </c>
      <c r="G485" s="7"/>
      <c r="H485" s="5" t="str">
        <f aca="false">IF($G485="","",IF(LOWER(TRIM($G485))=LOWER(TRIM($F485)),"Match","Mismatch"))</f>
        <v/>
      </c>
      <c r="I485" s="5" t="str">
        <f aca="false">IF($G485="","",IF(LOWER(TRIM($G485))=LOWER(TRIM($E485)),"Match","Mismatch"))</f>
        <v/>
      </c>
      <c r="J485" s="6"/>
    </row>
    <row r="486" customFormat="false" ht="23.85" hidden="false" customHeight="false" outlineLevel="0" collapsed="false">
      <c r="A486" s="5" t="s">
        <v>25</v>
      </c>
      <c r="B486" s="5" t="s">
        <v>318</v>
      </c>
      <c r="C486" s="5" t="s">
        <v>27</v>
      </c>
      <c r="D486" s="6" t="s">
        <v>28</v>
      </c>
      <c r="E486" s="5" t="s">
        <v>31</v>
      </c>
      <c r="F486" s="5" t="s">
        <v>29</v>
      </c>
      <c r="G486" s="7"/>
      <c r="H486" s="5" t="str">
        <f aca="false">IF($G486="","",IF(LOWER(TRIM($G486))=LOWER(TRIM($F486)),"Match","Mismatch"))</f>
        <v/>
      </c>
      <c r="I486" s="5" t="str">
        <f aca="false">IF($G486="","",IF(LOWER(TRIM($G486))=LOWER(TRIM($E486)),"Match","Mismatch"))</f>
        <v/>
      </c>
      <c r="J486" s="6"/>
    </row>
    <row r="487" customFormat="false" ht="35.05" hidden="false" customHeight="false" outlineLevel="0" collapsed="false">
      <c r="A487" s="5" t="s">
        <v>25</v>
      </c>
      <c r="B487" s="5" t="s">
        <v>318</v>
      </c>
      <c r="C487" s="5" t="s">
        <v>27</v>
      </c>
      <c r="D487" s="6" t="s">
        <v>32</v>
      </c>
      <c r="E487" s="5" t="s">
        <v>31</v>
      </c>
      <c r="F487" s="5" t="s">
        <v>29</v>
      </c>
      <c r="G487" s="7"/>
      <c r="H487" s="5" t="str">
        <f aca="false">IF($G487="","",IF(LOWER(TRIM($G487))=LOWER(TRIM($F487)),"Match","Mismatch"))</f>
        <v/>
      </c>
      <c r="I487" s="5" t="str">
        <f aca="false">IF($G487="","",IF(LOWER(TRIM($G487))=LOWER(TRIM($E487)),"Match","Mismatch"))</f>
        <v/>
      </c>
      <c r="J487" s="6"/>
    </row>
    <row r="488" customFormat="false" ht="23.85" hidden="false" customHeight="false" outlineLevel="0" collapsed="false">
      <c r="A488" s="5" t="s">
        <v>25</v>
      </c>
      <c r="B488" s="5" t="s">
        <v>318</v>
      </c>
      <c r="C488" s="5" t="s">
        <v>27</v>
      </c>
      <c r="D488" s="6" t="s">
        <v>34</v>
      </c>
      <c r="E488" s="5" t="s">
        <v>31</v>
      </c>
      <c r="F488" s="5" t="s">
        <v>29</v>
      </c>
      <c r="G488" s="7"/>
      <c r="H488" s="5" t="str">
        <f aca="false">IF($G488="","",IF(LOWER(TRIM($G488))=LOWER(TRIM($F488)),"Match","Mismatch"))</f>
        <v/>
      </c>
      <c r="I488" s="5" t="str">
        <f aca="false">IF($G488="","",IF(LOWER(TRIM($G488))=LOWER(TRIM($E488)),"Match","Mismatch"))</f>
        <v/>
      </c>
      <c r="J488" s="6"/>
    </row>
    <row r="489" customFormat="false" ht="15" hidden="false" customHeight="false" outlineLevel="0" collapsed="false">
      <c r="A489" s="5" t="s">
        <v>25</v>
      </c>
      <c r="B489" s="5" t="s">
        <v>318</v>
      </c>
      <c r="C489" s="5" t="s">
        <v>27</v>
      </c>
      <c r="D489" s="6" t="s">
        <v>35</v>
      </c>
      <c r="E489" s="5" t="s">
        <v>319</v>
      </c>
      <c r="F489" s="5" t="s">
        <v>320</v>
      </c>
      <c r="G489" s="7"/>
      <c r="H489" s="5" t="str">
        <f aca="false">IF($G489="","",IF(LOWER(TRIM($G489))=LOWER(TRIM($F489)),"Match","Mismatch"))</f>
        <v/>
      </c>
      <c r="I489" s="5" t="str">
        <f aca="false">IF($G489="","",IF(LOWER(TRIM($G489))=LOWER(TRIM($E489)),"Match","Mismatch"))</f>
        <v/>
      </c>
      <c r="J489" s="6"/>
    </row>
    <row r="490" customFormat="false" ht="23.85" hidden="false" customHeight="false" outlineLevel="0" collapsed="false">
      <c r="A490" s="5" t="s">
        <v>25</v>
      </c>
      <c r="B490" s="5" t="s">
        <v>318</v>
      </c>
      <c r="C490" s="5" t="s">
        <v>27</v>
      </c>
      <c r="D490" s="6" t="s">
        <v>38</v>
      </c>
      <c r="E490" s="5" t="s">
        <v>31</v>
      </c>
      <c r="F490" s="5" t="s">
        <v>29</v>
      </c>
      <c r="G490" s="7"/>
      <c r="H490" s="5" t="str">
        <f aca="false">IF($G490="","",IF(LOWER(TRIM($G490))=LOWER(TRIM($F490)),"Match","Mismatch"))</f>
        <v/>
      </c>
      <c r="I490" s="5" t="str">
        <f aca="false">IF($G490="","",IF(LOWER(TRIM($G490))=LOWER(TRIM($E490)),"Match","Mismatch"))</f>
        <v/>
      </c>
      <c r="J490" s="6"/>
    </row>
    <row r="491" customFormat="false" ht="15" hidden="false" customHeight="false" outlineLevel="0" collapsed="false">
      <c r="A491" s="5" t="s">
        <v>25</v>
      </c>
      <c r="B491" s="5" t="s">
        <v>318</v>
      </c>
      <c r="C491" s="5" t="s">
        <v>39</v>
      </c>
      <c r="D491" s="6" t="s">
        <v>40</v>
      </c>
      <c r="E491" s="5"/>
      <c r="F491" s="5" t="s">
        <v>46</v>
      </c>
      <c r="G491" s="7"/>
      <c r="H491" s="5" t="str">
        <f aca="false">IF($G491="","",IF(LOWER(TRIM($G491))=LOWER(TRIM($F491)),"Match","Mismatch"))</f>
        <v/>
      </c>
      <c r="I491" s="5" t="str">
        <f aca="false">IF($G491="","",IF(LOWER(TRIM($G491))=LOWER(TRIM($E491)),"Match","Mismatch"))</f>
        <v/>
      </c>
      <c r="J491" s="6"/>
    </row>
    <row r="492" customFormat="false" ht="23.85" hidden="false" customHeight="false" outlineLevel="0" collapsed="false">
      <c r="A492" s="5" t="s">
        <v>25</v>
      </c>
      <c r="B492" s="5" t="s">
        <v>318</v>
      </c>
      <c r="C492" s="5" t="s">
        <v>39</v>
      </c>
      <c r="D492" s="6" t="s">
        <v>42</v>
      </c>
      <c r="E492" s="5"/>
      <c r="F492" s="5" t="s">
        <v>46</v>
      </c>
      <c r="G492" s="7"/>
      <c r="H492" s="5" t="str">
        <f aca="false">IF($G492="","",IF(LOWER(TRIM($G492))=LOWER(TRIM($F492)),"Match","Mismatch"))</f>
        <v/>
      </c>
      <c r="I492" s="5" t="str">
        <f aca="false">IF($G492="","",IF(LOWER(TRIM($G492))=LOWER(TRIM($E492)),"Match","Mismatch"))</f>
        <v/>
      </c>
      <c r="J492" s="6"/>
    </row>
    <row r="493" customFormat="false" ht="15" hidden="false" customHeight="false" outlineLevel="0" collapsed="false">
      <c r="A493" s="5" t="s">
        <v>25</v>
      </c>
      <c r="B493" s="5" t="s">
        <v>318</v>
      </c>
      <c r="C493" s="5" t="s">
        <v>39</v>
      </c>
      <c r="D493" s="6" t="s">
        <v>45</v>
      </c>
      <c r="E493" s="5" t="s">
        <v>190</v>
      </c>
      <c r="F493" s="5" t="s">
        <v>46</v>
      </c>
      <c r="G493" s="7"/>
      <c r="H493" s="5" t="str">
        <f aca="false">IF($G493="","",IF(LOWER(TRIM($G493))=LOWER(TRIM($F493)),"Match","Mismatch"))</f>
        <v/>
      </c>
      <c r="I493" s="5" t="str">
        <f aca="false">IF($G493="","",IF(LOWER(TRIM($G493))=LOWER(TRIM($E493)),"Match","Mismatch"))</f>
        <v/>
      </c>
      <c r="J493" s="6"/>
    </row>
    <row r="494" customFormat="false" ht="15" hidden="false" customHeight="false" outlineLevel="0" collapsed="false">
      <c r="A494" s="5" t="s">
        <v>25</v>
      </c>
      <c r="B494" s="5" t="s">
        <v>318</v>
      </c>
      <c r="C494" s="5" t="s">
        <v>39</v>
      </c>
      <c r="D494" s="6" t="s">
        <v>48</v>
      </c>
      <c r="E494" s="5"/>
      <c r="F494" s="5" t="s">
        <v>46</v>
      </c>
      <c r="G494" s="7"/>
      <c r="H494" s="5" t="str">
        <f aca="false">IF($G494="","",IF(LOWER(TRIM($G494))=LOWER(TRIM($F494)),"Match","Mismatch"))</f>
        <v/>
      </c>
      <c r="I494" s="5" t="str">
        <f aca="false">IF($G494="","",IF(LOWER(TRIM($G494))=LOWER(TRIM($E494)),"Match","Mismatch"))</f>
        <v/>
      </c>
      <c r="J494" s="6"/>
    </row>
    <row r="495" customFormat="false" ht="15" hidden="false" customHeight="false" outlineLevel="0" collapsed="false">
      <c r="A495" s="5" t="s">
        <v>25</v>
      </c>
      <c r="B495" s="5" t="s">
        <v>318</v>
      </c>
      <c r="C495" s="5" t="s">
        <v>39</v>
      </c>
      <c r="D495" s="6" t="s">
        <v>49</v>
      </c>
      <c r="E495" s="5" t="s">
        <v>190</v>
      </c>
      <c r="F495" s="5" t="s">
        <v>46</v>
      </c>
      <c r="G495" s="7"/>
      <c r="H495" s="5" t="str">
        <f aca="false">IF($G495="","",IF(LOWER(TRIM($G495))=LOWER(TRIM($F495)),"Match","Mismatch"))</f>
        <v/>
      </c>
      <c r="I495" s="5" t="str">
        <f aca="false">IF($G495="","",IF(LOWER(TRIM($G495))=LOWER(TRIM($E495)),"Match","Mismatch"))</f>
        <v/>
      </c>
      <c r="J495" s="6"/>
    </row>
    <row r="496" customFormat="false" ht="15" hidden="false" customHeight="false" outlineLevel="0" collapsed="false">
      <c r="A496" s="5" t="s">
        <v>25</v>
      </c>
      <c r="B496" s="5" t="s">
        <v>318</v>
      </c>
      <c r="C496" s="5" t="s">
        <v>39</v>
      </c>
      <c r="D496" s="6" t="s">
        <v>51</v>
      </c>
      <c r="E496" s="5" t="s">
        <v>190</v>
      </c>
      <c r="F496" s="5" t="s">
        <v>46</v>
      </c>
      <c r="G496" s="7"/>
      <c r="H496" s="5" t="str">
        <f aca="false">IF($G496="","",IF(LOWER(TRIM($G496))=LOWER(TRIM($F496)),"Match","Mismatch"))</f>
        <v/>
      </c>
      <c r="I496" s="5" t="str">
        <f aca="false">IF($G496="","",IF(LOWER(TRIM($G496))=LOWER(TRIM($E496)),"Match","Mismatch"))</f>
        <v/>
      </c>
      <c r="J496" s="6"/>
    </row>
    <row r="497" customFormat="false" ht="15" hidden="false" customHeight="false" outlineLevel="0" collapsed="false">
      <c r="A497" s="5" t="s">
        <v>25</v>
      </c>
      <c r="B497" s="5" t="s">
        <v>318</v>
      </c>
      <c r="C497" s="5" t="s">
        <v>39</v>
      </c>
      <c r="D497" s="6" t="s">
        <v>52</v>
      </c>
      <c r="E497" s="5" t="s">
        <v>190</v>
      </c>
      <c r="F497" s="5" t="s">
        <v>46</v>
      </c>
      <c r="G497" s="7"/>
      <c r="H497" s="5" t="str">
        <f aca="false">IF($G497="","",IF(LOWER(TRIM($G497))=LOWER(TRIM($F497)),"Match","Mismatch"))</f>
        <v/>
      </c>
      <c r="I497" s="5" t="str">
        <f aca="false">IF($G497="","",IF(LOWER(TRIM($G497))=LOWER(TRIM($E497)),"Match","Mismatch"))</f>
        <v/>
      </c>
      <c r="J497" s="6"/>
    </row>
    <row r="498" customFormat="false" ht="15" hidden="false" customHeight="false" outlineLevel="0" collapsed="false">
      <c r="A498" s="5" t="s">
        <v>25</v>
      </c>
      <c r="B498" s="5" t="s">
        <v>318</v>
      </c>
      <c r="C498" s="5" t="s">
        <v>39</v>
      </c>
      <c r="D498" s="6" t="s">
        <v>53</v>
      </c>
      <c r="E498" s="5" t="s">
        <v>190</v>
      </c>
      <c r="F498" s="5" t="s">
        <v>46</v>
      </c>
      <c r="G498" s="7"/>
      <c r="H498" s="5" t="str">
        <f aca="false">IF($G498="","",IF(LOWER(TRIM($G498))=LOWER(TRIM($F498)),"Match","Mismatch"))</f>
        <v/>
      </c>
      <c r="I498" s="5" t="str">
        <f aca="false">IF($G498="","",IF(LOWER(TRIM($G498))=LOWER(TRIM($E498)),"Match","Mismatch"))</f>
        <v/>
      </c>
      <c r="J498" s="6"/>
    </row>
    <row r="499" customFormat="false" ht="15" hidden="false" customHeight="false" outlineLevel="0" collapsed="false">
      <c r="A499" s="5" t="s">
        <v>25</v>
      </c>
      <c r="B499" s="5" t="s">
        <v>318</v>
      </c>
      <c r="C499" s="5" t="s">
        <v>39</v>
      </c>
      <c r="D499" s="6" t="s">
        <v>54</v>
      </c>
      <c r="E499" s="5" t="s">
        <v>190</v>
      </c>
      <c r="F499" s="5" t="s">
        <v>46</v>
      </c>
      <c r="G499" s="7"/>
      <c r="H499" s="5" t="str">
        <f aca="false">IF($G499="","",IF(LOWER(TRIM($G499))=LOWER(TRIM($F499)),"Match","Mismatch"))</f>
        <v/>
      </c>
      <c r="I499" s="5" t="str">
        <f aca="false">IF($G499="","",IF(LOWER(TRIM($G499))=LOWER(TRIM($E499)),"Match","Mismatch"))</f>
        <v/>
      </c>
      <c r="J499" s="6"/>
    </row>
    <row r="500" customFormat="false" ht="15" hidden="false" customHeight="false" outlineLevel="0" collapsed="false">
      <c r="A500" s="5" t="s">
        <v>25</v>
      </c>
      <c r="B500" s="5" t="s">
        <v>318</v>
      </c>
      <c r="C500" s="5" t="s">
        <v>39</v>
      </c>
      <c r="D500" s="6" t="s">
        <v>58</v>
      </c>
      <c r="E500" s="5" t="s">
        <v>190</v>
      </c>
      <c r="F500" s="5" t="s">
        <v>46</v>
      </c>
      <c r="G500" s="7"/>
      <c r="H500" s="5" t="str">
        <f aca="false">IF($G500="","",IF(LOWER(TRIM($G500))=LOWER(TRIM($F500)),"Match","Mismatch"))</f>
        <v/>
      </c>
      <c r="I500" s="5" t="str">
        <f aca="false">IF($G500="","",IF(LOWER(TRIM($G500))=LOWER(TRIM($E500)),"Match","Mismatch"))</f>
        <v/>
      </c>
      <c r="J500" s="6"/>
    </row>
    <row r="501" customFormat="false" ht="15" hidden="false" customHeight="false" outlineLevel="0" collapsed="false">
      <c r="A501" s="5" t="s">
        <v>25</v>
      </c>
      <c r="B501" s="5" t="s">
        <v>318</v>
      </c>
      <c r="C501" s="5" t="s">
        <v>59</v>
      </c>
      <c r="D501" s="6" t="s">
        <v>63</v>
      </c>
      <c r="E501" s="5" t="s">
        <v>321</v>
      </c>
      <c r="F501" s="5"/>
      <c r="G501" s="7"/>
      <c r="H501" s="5" t="str">
        <f aca="false">IF($G501="","",IF(LOWER(TRIM($G501))=LOWER(TRIM($F501)),"Match","Mismatch"))</f>
        <v/>
      </c>
      <c r="I501" s="5" t="str">
        <f aca="false">IF($G501="","",IF(LOWER(TRIM($G501))=LOWER(TRIM($E501)),"Match","Mismatch"))</f>
        <v/>
      </c>
      <c r="J501" s="6"/>
    </row>
    <row r="502" customFormat="false" ht="23.85" hidden="false" customHeight="false" outlineLevel="0" collapsed="false">
      <c r="A502" s="5" t="s">
        <v>25</v>
      </c>
      <c r="B502" s="5" t="s">
        <v>318</v>
      </c>
      <c r="C502" s="5" t="s">
        <v>59</v>
      </c>
      <c r="D502" s="6" t="s">
        <v>65</v>
      </c>
      <c r="E502" s="5" t="s">
        <v>31</v>
      </c>
      <c r="F502" s="5" t="s">
        <v>29</v>
      </c>
      <c r="G502" s="7"/>
      <c r="H502" s="5" t="str">
        <f aca="false">IF($G502="","",IF(LOWER(TRIM($G502))=LOWER(TRIM($F502)),"Match","Mismatch"))</f>
        <v/>
      </c>
      <c r="I502" s="5" t="str">
        <f aca="false">IF($G502="","",IF(LOWER(TRIM($G502))=LOWER(TRIM($E502)),"Match","Mismatch"))</f>
        <v/>
      </c>
      <c r="J502" s="6"/>
    </row>
    <row r="503" customFormat="false" ht="15" hidden="false" customHeight="false" outlineLevel="0" collapsed="false">
      <c r="A503" s="5" t="s">
        <v>25</v>
      </c>
      <c r="B503" s="5" t="s">
        <v>318</v>
      </c>
      <c r="C503" s="5" t="s">
        <v>67</v>
      </c>
      <c r="D503" s="6" t="s">
        <v>68</v>
      </c>
      <c r="E503" s="5" t="s">
        <v>322</v>
      </c>
      <c r="F503" s="5" t="s">
        <v>323</v>
      </c>
      <c r="G503" s="7"/>
      <c r="H503" s="5" t="str">
        <f aca="false">IF($G503="","",IF(LOWER(TRIM($G503))=LOWER(TRIM($F503)),"Match","Mismatch"))</f>
        <v/>
      </c>
      <c r="I503" s="5" t="str">
        <f aca="false">IF($G503="","",IF(LOWER(TRIM($G503))=LOWER(TRIM($E503)),"Match","Mismatch"))</f>
        <v/>
      </c>
      <c r="J503" s="6"/>
    </row>
    <row r="504" customFormat="false" ht="15" hidden="false" customHeight="false" outlineLevel="0" collapsed="false">
      <c r="A504" s="5" t="s">
        <v>25</v>
      </c>
      <c r="B504" s="5" t="s">
        <v>318</v>
      </c>
      <c r="C504" s="5" t="s">
        <v>70</v>
      </c>
      <c r="D504" s="6" t="s">
        <v>71</v>
      </c>
      <c r="E504" s="5" t="s">
        <v>324</v>
      </c>
      <c r="F504" s="5" t="s">
        <v>325</v>
      </c>
      <c r="G504" s="7"/>
      <c r="H504" s="5" t="str">
        <f aca="false">IF($G504="","",IF(LOWER(TRIM($G504))=LOWER(TRIM($F504)),"Match","Mismatch"))</f>
        <v/>
      </c>
      <c r="I504" s="5" t="str">
        <f aca="false">IF($G504="","",IF(LOWER(TRIM($G504))=LOWER(TRIM($E504)),"Match","Mismatch"))</f>
        <v/>
      </c>
      <c r="J504" s="6"/>
    </row>
    <row r="505" customFormat="false" ht="15" hidden="false" customHeight="false" outlineLevel="0" collapsed="false">
      <c r="A505" s="5" t="s">
        <v>25</v>
      </c>
      <c r="B505" s="5" t="s">
        <v>318</v>
      </c>
      <c r="C505" s="5" t="s">
        <v>70</v>
      </c>
      <c r="D505" s="6" t="s">
        <v>73</v>
      </c>
      <c r="E505" s="5" t="s">
        <v>324</v>
      </c>
      <c r="F505" s="5" t="s">
        <v>326</v>
      </c>
      <c r="G505" s="7"/>
      <c r="H505" s="5" t="str">
        <f aca="false">IF($G505="","",IF(LOWER(TRIM($G505))=LOWER(TRIM($F505)),"Match","Mismatch"))</f>
        <v/>
      </c>
      <c r="I505" s="5" t="str">
        <f aca="false">IF($G505="","",IF(LOWER(TRIM($G505))=LOWER(TRIM($E505)),"Match","Mismatch"))</f>
        <v/>
      </c>
      <c r="J505" s="6"/>
    </row>
    <row r="506" customFormat="false" ht="15" hidden="false" customHeight="false" outlineLevel="0" collapsed="false">
      <c r="A506" s="5" t="s">
        <v>25</v>
      </c>
      <c r="B506" s="5" t="s">
        <v>318</v>
      </c>
      <c r="C506" s="5" t="s">
        <v>70</v>
      </c>
      <c r="D506" s="6" t="s">
        <v>75</v>
      </c>
      <c r="E506" s="5" t="s">
        <v>324</v>
      </c>
      <c r="F506" s="5" t="s">
        <v>327</v>
      </c>
      <c r="G506" s="7"/>
      <c r="H506" s="5" t="str">
        <f aca="false">IF($G506="","",IF(LOWER(TRIM($G506))=LOWER(TRIM($F506)),"Match","Mismatch"))</f>
        <v/>
      </c>
      <c r="I506" s="5" t="str">
        <f aca="false">IF($G506="","",IF(LOWER(TRIM($G506))=LOWER(TRIM($E506)),"Match","Mismatch"))</f>
        <v/>
      </c>
      <c r="J506" s="6"/>
    </row>
    <row r="507" customFormat="false" ht="15" hidden="false" customHeight="false" outlineLevel="0" collapsed="false">
      <c r="A507" s="5" t="s">
        <v>25</v>
      </c>
      <c r="B507" s="5" t="s">
        <v>318</v>
      </c>
      <c r="C507" s="5" t="s">
        <v>70</v>
      </c>
      <c r="D507" s="6" t="s">
        <v>77</v>
      </c>
      <c r="E507" s="5" t="s">
        <v>324</v>
      </c>
      <c r="F507" s="5" t="s">
        <v>328</v>
      </c>
      <c r="G507" s="7"/>
      <c r="H507" s="5" t="str">
        <f aca="false">IF($G507="","",IF(LOWER(TRIM($G507))=LOWER(TRIM($F507)),"Match","Mismatch"))</f>
        <v/>
      </c>
      <c r="I507" s="5" t="str">
        <f aca="false">IF($G507="","",IF(LOWER(TRIM($G507))=LOWER(TRIM($E507)),"Match","Mismatch"))</f>
        <v/>
      </c>
      <c r="J507" s="6"/>
    </row>
    <row r="508" customFormat="false" ht="15" hidden="false" customHeight="false" outlineLevel="0" collapsed="false">
      <c r="A508" s="5" t="s">
        <v>25</v>
      </c>
      <c r="B508" s="5" t="s">
        <v>318</v>
      </c>
      <c r="C508" s="5" t="s">
        <v>70</v>
      </c>
      <c r="D508" s="6" t="s">
        <v>80</v>
      </c>
      <c r="E508" s="5" t="s">
        <v>324</v>
      </c>
      <c r="F508" s="5"/>
      <c r="G508" s="7"/>
      <c r="H508" s="5" t="str">
        <f aca="false">IF($G508="","",IF(LOWER(TRIM($G508))=LOWER(TRIM($F508)),"Match","Mismatch"))</f>
        <v/>
      </c>
      <c r="I508" s="5" t="str">
        <f aca="false">IF($G508="","",IF(LOWER(TRIM($G508))=LOWER(TRIM($E508)),"Match","Mismatch"))</f>
        <v/>
      </c>
      <c r="J508" s="6"/>
    </row>
    <row r="509" customFormat="false" ht="15" hidden="false" customHeight="false" outlineLevel="0" collapsed="false">
      <c r="A509" s="5" t="s">
        <v>25</v>
      </c>
      <c r="B509" s="5" t="s">
        <v>318</v>
      </c>
      <c r="C509" s="5" t="s">
        <v>70</v>
      </c>
      <c r="D509" s="6" t="s">
        <v>82</v>
      </c>
      <c r="E509" s="5" t="s">
        <v>324</v>
      </c>
      <c r="F509" s="5" t="s">
        <v>329</v>
      </c>
      <c r="G509" s="7"/>
      <c r="H509" s="5" t="str">
        <f aca="false">IF($G509="","",IF(LOWER(TRIM($G509))=LOWER(TRIM($F509)),"Match","Mismatch"))</f>
        <v/>
      </c>
      <c r="I509" s="5" t="str">
        <f aca="false">IF($G509="","",IF(LOWER(TRIM($G509))=LOWER(TRIM($E509)),"Match","Mismatch"))</f>
        <v/>
      </c>
      <c r="J509" s="6"/>
    </row>
    <row r="510" customFormat="false" ht="15" hidden="false" customHeight="false" outlineLevel="0" collapsed="false">
      <c r="A510" s="5" t="s">
        <v>25</v>
      </c>
      <c r="B510" s="5" t="s">
        <v>318</v>
      </c>
      <c r="C510" s="5" t="s">
        <v>70</v>
      </c>
      <c r="D510" s="6" t="s">
        <v>84</v>
      </c>
      <c r="E510" s="5" t="s">
        <v>324</v>
      </c>
      <c r="F510" s="5" t="s">
        <v>330</v>
      </c>
      <c r="G510" s="7"/>
      <c r="H510" s="5" t="str">
        <f aca="false">IF($G510="","",IF(LOWER(TRIM($G510))=LOWER(TRIM($F510)),"Match","Mismatch"))</f>
        <v/>
      </c>
      <c r="I510" s="5" t="str">
        <f aca="false">IF($G510="","",IF(LOWER(TRIM($G510))=LOWER(TRIM($E510)),"Match","Mismatch"))</f>
        <v/>
      </c>
      <c r="J510" s="6"/>
    </row>
    <row r="511" customFormat="false" ht="15" hidden="false" customHeight="false" outlineLevel="0" collapsed="false">
      <c r="A511" s="5" t="s">
        <v>25</v>
      </c>
      <c r="B511" s="5" t="s">
        <v>318</v>
      </c>
      <c r="C511" s="5" t="s">
        <v>70</v>
      </c>
      <c r="D511" s="6" t="s">
        <v>86</v>
      </c>
      <c r="E511" s="5" t="s">
        <v>331</v>
      </c>
      <c r="F511" s="5" t="s">
        <v>332</v>
      </c>
      <c r="G511" s="7"/>
      <c r="H511" s="5" t="str">
        <f aca="false">IF($G511="","",IF(LOWER(TRIM($G511))=LOWER(TRIM($F511)),"Match","Mismatch"))</f>
        <v/>
      </c>
      <c r="I511" s="5" t="str">
        <f aca="false">IF($G511="","",IF(LOWER(TRIM($G511))=LOWER(TRIM($E511)),"Match","Mismatch"))</f>
        <v/>
      </c>
      <c r="J511" s="6"/>
    </row>
    <row r="512" customFormat="false" ht="23.85" hidden="false" customHeight="false" outlineLevel="0" collapsed="false">
      <c r="A512" s="5" t="s">
        <v>25</v>
      </c>
      <c r="B512" s="5" t="s">
        <v>333</v>
      </c>
      <c r="C512" s="5" t="s">
        <v>27</v>
      </c>
      <c r="D512" s="6" t="s">
        <v>28</v>
      </c>
      <c r="E512" s="5" t="s">
        <v>31</v>
      </c>
      <c r="F512" s="5" t="s">
        <v>29</v>
      </c>
      <c r="G512" s="7"/>
      <c r="H512" s="5" t="str">
        <f aca="false">IF($G512="","",IF(LOWER(TRIM($G512))=LOWER(TRIM($F512)),"Match","Mismatch"))</f>
        <v/>
      </c>
      <c r="I512" s="5" t="str">
        <f aca="false">IF($G512="","",IF(LOWER(TRIM($G512))=LOWER(TRIM($E512)),"Match","Mismatch"))</f>
        <v/>
      </c>
      <c r="J512" s="6"/>
    </row>
    <row r="513" customFormat="false" ht="35.05" hidden="false" customHeight="false" outlineLevel="0" collapsed="false">
      <c r="A513" s="5" t="s">
        <v>25</v>
      </c>
      <c r="B513" s="5" t="s">
        <v>333</v>
      </c>
      <c r="C513" s="5" t="s">
        <v>27</v>
      </c>
      <c r="D513" s="6" t="s">
        <v>32</v>
      </c>
      <c r="E513" s="5" t="s">
        <v>31</v>
      </c>
      <c r="F513" s="5" t="s">
        <v>29</v>
      </c>
      <c r="G513" s="7"/>
      <c r="H513" s="5" t="str">
        <f aca="false">IF($G513="","",IF(LOWER(TRIM($G513))=LOWER(TRIM($F513)),"Match","Mismatch"))</f>
        <v/>
      </c>
      <c r="I513" s="5" t="str">
        <f aca="false">IF($G513="","",IF(LOWER(TRIM($G513))=LOWER(TRIM($E513)),"Match","Mismatch"))</f>
        <v/>
      </c>
      <c r="J513" s="6"/>
    </row>
    <row r="514" customFormat="false" ht="23.85" hidden="false" customHeight="false" outlineLevel="0" collapsed="false">
      <c r="A514" s="5" t="s">
        <v>25</v>
      </c>
      <c r="B514" s="5" t="s">
        <v>333</v>
      </c>
      <c r="C514" s="5" t="s">
        <v>27</v>
      </c>
      <c r="D514" s="6" t="s">
        <v>34</v>
      </c>
      <c r="E514" s="5" t="s">
        <v>31</v>
      </c>
      <c r="F514" s="5" t="s">
        <v>29</v>
      </c>
      <c r="G514" s="7"/>
      <c r="H514" s="5" t="str">
        <f aca="false">IF($G514="","",IF(LOWER(TRIM($G514))=LOWER(TRIM($F514)),"Match","Mismatch"))</f>
        <v/>
      </c>
      <c r="I514" s="5" t="str">
        <f aca="false">IF($G514="","",IF(LOWER(TRIM($G514))=LOWER(TRIM($E514)),"Match","Mismatch"))</f>
        <v/>
      </c>
      <c r="J514" s="6"/>
    </row>
    <row r="515" customFormat="false" ht="15" hidden="false" customHeight="false" outlineLevel="0" collapsed="false">
      <c r="A515" s="5" t="s">
        <v>25</v>
      </c>
      <c r="B515" s="5" t="s">
        <v>333</v>
      </c>
      <c r="C515" s="5" t="s">
        <v>27</v>
      </c>
      <c r="D515" s="6" t="s">
        <v>35</v>
      </c>
      <c r="E515" s="5" t="s">
        <v>334</v>
      </c>
      <c r="F515" s="5" t="s">
        <v>335</v>
      </c>
      <c r="G515" s="7"/>
      <c r="H515" s="5" t="str">
        <f aca="false">IF($G515="","",IF(LOWER(TRIM($G515))=LOWER(TRIM($F515)),"Match","Mismatch"))</f>
        <v/>
      </c>
      <c r="I515" s="5" t="str">
        <f aca="false">IF($G515="","",IF(LOWER(TRIM($G515))=LOWER(TRIM($E515)),"Match","Mismatch"))</f>
        <v/>
      </c>
      <c r="J515" s="6"/>
    </row>
    <row r="516" customFormat="false" ht="23.85" hidden="false" customHeight="false" outlineLevel="0" collapsed="false">
      <c r="A516" s="5" t="s">
        <v>25</v>
      </c>
      <c r="B516" s="5" t="s">
        <v>333</v>
      </c>
      <c r="C516" s="5" t="s">
        <v>27</v>
      </c>
      <c r="D516" s="6" t="s">
        <v>38</v>
      </c>
      <c r="E516" s="5" t="s">
        <v>31</v>
      </c>
      <c r="F516" s="5" t="s">
        <v>29</v>
      </c>
      <c r="G516" s="7"/>
      <c r="H516" s="5" t="str">
        <f aca="false">IF($G516="","",IF(LOWER(TRIM($G516))=LOWER(TRIM($F516)),"Match","Mismatch"))</f>
        <v/>
      </c>
      <c r="I516" s="5" t="str">
        <f aca="false">IF($G516="","",IF(LOWER(TRIM($G516))=LOWER(TRIM($E516)),"Match","Mismatch"))</f>
        <v/>
      </c>
      <c r="J516" s="6"/>
    </row>
    <row r="517" customFormat="false" ht="23.85" hidden="false" customHeight="false" outlineLevel="0" collapsed="false">
      <c r="A517" s="5" t="s">
        <v>25</v>
      </c>
      <c r="B517" s="5" t="s">
        <v>333</v>
      </c>
      <c r="C517" s="5" t="s">
        <v>39</v>
      </c>
      <c r="D517" s="6" t="s">
        <v>42</v>
      </c>
      <c r="E517" s="5" t="s">
        <v>43</v>
      </c>
      <c r="F517" s="5" t="s">
        <v>41</v>
      </c>
      <c r="G517" s="7"/>
      <c r="H517" s="5" t="str">
        <f aca="false">IF($G517="","",IF(LOWER(TRIM($G517))=LOWER(TRIM($F517)),"Match","Mismatch"))</f>
        <v/>
      </c>
      <c r="I517" s="5" t="str">
        <f aca="false">IF($G517="","",IF(LOWER(TRIM($G517))=LOWER(TRIM($E517)),"Match","Mismatch"))</f>
        <v/>
      </c>
      <c r="J517" s="6"/>
    </row>
    <row r="518" customFormat="false" ht="23.85" hidden="false" customHeight="false" outlineLevel="0" collapsed="false">
      <c r="A518" s="5" t="s">
        <v>25</v>
      </c>
      <c r="B518" s="5" t="s">
        <v>333</v>
      </c>
      <c r="C518" s="5" t="s">
        <v>39</v>
      </c>
      <c r="D518" s="6" t="s">
        <v>44</v>
      </c>
      <c r="E518" s="5"/>
      <c r="F518" s="5" t="s">
        <v>43</v>
      </c>
      <c r="G518" s="7"/>
      <c r="H518" s="5" t="str">
        <f aca="false">IF($G518="","",IF(LOWER(TRIM($G518))=LOWER(TRIM($F518)),"Match","Mismatch"))</f>
        <v/>
      </c>
      <c r="I518" s="5" t="str">
        <f aca="false">IF($G518="","",IF(LOWER(TRIM($G518))=LOWER(TRIM($E518)),"Match","Mismatch"))</f>
        <v/>
      </c>
      <c r="J518" s="6"/>
    </row>
    <row r="519" customFormat="false" ht="15" hidden="false" customHeight="false" outlineLevel="0" collapsed="false">
      <c r="A519" s="5" t="s">
        <v>25</v>
      </c>
      <c r="B519" s="5" t="s">
        <v>333</v>
      </c>
      <c r="C519" s="5" t="s">
        <v>39</v>
      </c>
      <c r="D519" s="6" t="s">
        <v>45</v>
      </c>
      <c r="E519" s="5" t="s">
        <v>43</v>
      </c>
      <c r="F519" s="5" t="s">
        <v>46</v>
      </c>
      <c r="G519" s="7"/>
      <c r="H519" s="5" t="str">
        <f aca="false">IF($G519="","",IF(LOWER(TRIM($G519))=LOWER(TRIM($F519)),"Match","Mismatch"))</f>
        <v/>
      </c>
      <c r="I519" s="5" t="str">
        <f aca="false">IF($G519="","",IF(LOWER(TRIM($G519))=LOWER(TRIM($E519)),"Match","Mismatch"))</f>
        <v/>
      </c>
      <c r="J519" s="6"/>
    </row>
    <row r="520" customFormat="false" ht="15" hidden="false" customHeight="false" outlineLevel="0" collapsed="false">
      <c r="A520" s="5" t="s">
        <v>25</v>
      </c>
      <c r="B520" s="5" t="s">
        <v>333</v>
      </c>
      <c r="C520" s="5" t="s">
        <v>39</v>
      </c>
      <c r="D520" s="6" t="s">
        <v>58</v>
      </c>
      <c r="E520" s="5" t="s">
        <v>43</v>
      </c>
      <c r="F520" s="5" t="s">
        <v>55</v>
      </c>
      <c r="G520" s="7"/>
      <c r="H520" s="5" t="str">
        <f aca="false">IF($G520="","",IF(LOWER(TRIM($G520))=LOWER(TRIM($F520)),"Match","Mismatch"))</f>
        <v/>
      </c>
      <c r="I520" s="5" t="str">
        <f aca="false">IF($G520="","",IF(LOWER(TRIM($G520))=LOWER(TRIM($E520)),"Match","Mismatch"))</f>
        <v/>
      </c>
      <c r="J520" s="6"/>
    </row>
    <row r="521" customFormat="false" ht="15" hidden="false" customHeight="false" outlineLevel="0" collapsed="false">
      <c r="A521" s="5" t="s">
        <v>25</v>
      </c>
      <c r="B521" s="5" t="s">
        <v>333</v>
      </c>
      <c r="C521" s="5" t="s">
        <v>59</v>
      </c>
      <c r="D521" s="6" t="s">
        <v>60</v>
      </c>
      <c r="E521" s="5" t="s">
        <v>31</v>
      </c>
      <c r="F521" s="5" t="s">
        <v>29</v>
      </c>
      <c r="G521" s="7"/>
      <c r="H521" s="5" t="str">
        <f aca="false">IF($G521="","",IF(LOWER(TRIM($G521))=LOWER(TRIM($F521)),"Match","Mismatch"))</f>
        <v/>
      </c>
      <c r="I521" s="5" t="str">
        <f aca="false">IF($G521="","",IF(LOWER(TRIM($G521))=LOWER(TRIM($E521)),"Match","Mismatch"))</f>
        <v/>
      </c>
      <c r="J521" s="6"/>
    </row>
    <row r="522" customFormat="false" ht="15" hidden="false" customHeight="false" outlineLevel="0" collapsed="false">
      <c r="A522" s="5" t="s">
        <v>25</v>
      </c>
      <c r="B522" s="5" t="s">
        <v>333</v>
      </c>
      <c r="C522" s="5" t="s">
        <v>59</v>
      </c>
      <c r="D522" s="6" t="s">
        <v>62</v>
      </c>
      <c r="E522" s="5" t="s">
        <v>31</v>
      </c>
      <c r="F522" s="5" t="s">
        <v>29</v>
      </c>
      <c r="G522" s="7"/>
      <c r="H522" s="5" t="str">
        <f aca="false">IF($G522="","",IF(LOWER(TRIM($G522))=LOWER(TRIM($F522)),"Match","Mismatch"))</f>
        <v/>
      </c>
      <c r="I522" s="5" t="str">
        <f aca="false">IF($G522="","",IF(LOWER(TRIM($G522))=LOWER(TRIM($E522)),"Match","Mismatch"))</f>
        <v/>
      </c>
      <c r="J522" s="6"/>
    </row>
    <row r="523" customFormat="false" ht="15" hidden="false" customHeight="false" outlineLevel="0" collapsed="false">
      <c r="A523" s="5" t="s">
        <v>25</v>
      </c>
      <c r="B523" s="5" t="s">
        <v>333</v>
      </c>
      <c r="C523" s="5" t="s">
        <v>59</v>
      </c>
      <c r="D523" s="6" t="s">
        <v>63</v>
      </c>
      <c r="E523" s="5" t="s">
        <v>336</v>
      </c>
      <c r="F523" s="5" t="s">
        <v>337</v>
      </c>
      <c r="G523" s="7"/>
      <c r="H523" s="5" t="str">
        <f aca="false">IF($G523="","",IF(LOWER(TRIM($G523))=LOWER(TRIM($F523)),"Match","Mismatch"))</f>
        <v/>
      </c>
      <c r="I523" s="5" t="str">
        <f aca="false">IF($G523="","",IF(LOWER(TRIM($G523))=LOWER(TRIM($E523)),"Match","Mismatch"))</f>
        <v/>
      </c>
      <c r="J523" s="6"/>
    </row>
    <row r="524" customFormat="false" ht="23.85" hidden="false" customHeight="false" outlineLevel="0" collapsed="false">
      <c r="A524" s="5" t="s">
        <v>25</v>
      </c>
      <c r="B524" s="5" t="s">
        <v>333</v>
      </c>
      <c r="C524" s="5" t="s">
        <v>59</v>
      </c>
      <c r="D524" s="6" t="s">
        <v>65</v>
      </c>
      <c r="E524" s="5" t="s">
        <v>31</v>
      </c>
      <c r="F524" s="5" t="s">
        <v>29</v>
      </c>
      <c r="G524" s="7"/>
      <c r="H524" s="5" t="str">
        <f aca="false">IF($G524="","",IF(LOWER(TRIM($G524))=LOWER(TRIM($F524)),"Match","Mismatch"))</f>
        <v/>
      </c>
      <c r="I524" s="5" t="str">
        <f aca="false">IF($G524="","",IF(LOWER(TRIM($G524))=LOWER(TRIM($E524)),"Match","Mismatch"))</f>
        <v/>
      </c>
      <c r="J524" s="6"/>
    </row>
    <row r="525" customFormat="false" ht="23.85" hidden="false" customHeight="false" outlineLevel="0" collapsed="false">
      <c r="A525" s="5" t="s">
        <v>25</v>
      </c>
      <c r="B525" s="5" t="s">
        <v>333</v>
      </c>
      <c r="C525" s="5" t="s">
        <v>59</v>
      </c>
      <c r="D525" s="6" t="s">
        <v>66</v>
      </c>
      <c r="E525" s="5" t="s">
        <v>31</v>
      </c>
      <c r="F525" s="5" t="s">
        <v>29</v>
      </c>
      <c r="G525" s="7"/>
      <c r="H525" s="5" t="str">
        <f aca="false">IF($G525="","",IF(LOWER(TRIM($G525))=LOWER(TRIM($F525)),"Match","Mismatch"))</f>
        <v/>
      </c>
      <c r="I525" s="5" t="str">
        <f aca="false">IF($G525="","",IF(LOWER(TRIM($G525))=LOWER(TRIM($E525)),"Match","Mismatch"))</f>
        <v/>
      </c>
      <c r="J525" s="6"/>
    </row>
    <row r="526" customFormat="false" ht="15" hidden="false" customHeight="false" outlineLevel="0" collapsed="false">
      <c r="A526" s="5" t="s">
        <v>25</v>
      </c>
      <c r="B526" s="5" t="s">
        <v>333</v>
      </c>
      <c r="C526" s="5" t="s">
        <v>67</v>
      </c>
      <c r="D526" s="6" t="s">
        <v>68</v>
      </c>
      <c r="E526" s="5" t="s">
        <v>338</v>
      </c>
      <c r="F526" s="5" t="s">
        <v>339</v>
      </c>
      <c r="G526" s="7"/>
      <c r="H526" s="5" t="str">
        <f aca="false">IF($G526="","",IF(LOWER(TRIM($G526))=LOWER(TRIM($F526)),"Match","Mismatch"))</f>
        <v/>
      </c>
      <c r="I526" s="5" t="str">
        <f aca="false">IF($G526="","",IF(LOWER(TRIM($G526))=LOWER(TRIM($E526)),"Match","Mismatch"))</f>
        <v/>
      </c>
      <c r="J526" s="6"/>
    </row>
    <row r="527" customFormat="false" ht="15" hidden="false" customHeight="false" outlineLevel="0" collapsed="false">
      <c r="A527" s="5" t="s">
        <v>25</v>
      </c>
      <c r="B527" s="5" t="s">
        <v>333</v>
      </c>
      <c r="C527" s="5" t="s">
        <v>70</v>
      </c>
      <c r="D527" s="6" t="s">
        <v>71</v>
      </c>
      <c r="E527" s="5" t="s">
        <v>340</v>
      </c>
      <c r="F527" s="5" t="s">
        <v>341</v>
      </c>
      <c r="G527" s="7"/>
      <c r="H527" s="5" t="str">
        <f aca="false">IF($G527="","",IF(LOWER(TRIM($G527))=LOWER(TRIM($F527)),"Match","Mismatch"))</f>
        <v/>
      </c>
      <c r="I527" s="5" t="str">
        <f aca="false">IF($G527="","",IF(LOWER(TRIM($G527))=LOWER(TRIM($E527)),"Match","Mismatch"))</f>
        <v/>
      </c>
      <c r="J527" s="6"/>
    </row>
    <row r="528" customFormat="false" ht="15" hidden="false" customHeight="false" outlineLevel="0" collapsed="false">
      <c r="A528" s="5" t="s">
        <v>25</v>
      </c>
      <c r="B528" s="5" t="s">
        <v>333</v>
      </c>
      <c r="C528" s="5" t="s">
        <v>70</v>
      </c>
      <c r="D528" s="6" t="s">
        <v>73</v>
      </c>
      <c r="E528" s="5" t="s">
        <v>340</v>
      </c>
      <c r="F528" s="5" t="s">
        <v>342</v>
      </c>
      <c r="G528" s="7"/>
      <c r="H528" s="5" t="str">
        <f aca="false">IF($G528="","",IF(LOWER(TRIM($G528))=LOWER(TRIM($F528)),"Match","Mismatch"))</f>
        <v/>
      </c>
      <c r="I528" s="5" t="str">
        <f aca="false">IF($G528="","",IF(LOWER(TRIM($G528))=LOWER(TRIM($E528)),"Match","Mismatch"))</f>
        <v/>
      </c>
      <c r="J528" s="6"/>
    </row>
    <row r="529" customFormat="false" ht="15" hidden="false" customHeight="false" outlineLevel="0" collapsed="false">
      <c r="A529" s="5" t="s">
        <v>25</v>
      </c>
      <c r="B529" s="5" t="s">
        <v>333</v>
      </c>
      <c r="C529" s="5" t="s">
        <v>70</v>
      </c>
      <c r="D529" s="6" t="s">
        <v>75</v>
      </c>
      <c r="E529" s="5"/>
      <c r="F529" s="5" t="s">
        <v>343</v>
      </c>
      <c r="G529" s="7"/>
      <c r="H529" s="5" t="str">
        <f aca="false">IF($G529="","",IF(LOWER(TRIM($G529))=LOWER(TRIM($F529)),"Match","Mismatch"))</f>
        <v/>
      </c>
      <c r="I529" s="5" t="str">
        <f aca="false">IF($G529="","",IF(LOWER(TRIM($G529))=LOWER(TRIM($E529)),"Match","Mismatch"))</f>
        <v/>
      </c>
      <c r="J529" s="6"/>
    </row>
    <row r="530" customFormat="false" ht="15" hidden="false" customHeight="false" outlineLevel="0" collapsed="false">
      <c r="A530" s="5" t="s">
        <v>25</v>
      </c>
      <c r="B530" s="5" t="s">
        <v>333</v>
      </c>
      <c r="C530" s="5" t="s">
        <v>70</v>
      </c>
      <c r="D530" s="6" t="s">
        <v>77</v>
      </c>
      <c r="E530" s="5"/>
      <c r="F530" s="5" t="s">
        <v>344</v>
      </c>
      <c r="G530" s="7"/>
      <c r="H530" s="5" t="str">
        <f aca="false">IF($G530="","",IF(LOWER(TRIM($G530))=LOWER(TRIM($F530)),"Match","Mismatch"))</f>
        <v/>
      </c>
      <c r="I530" s="5" t="str">
        <f aca="false">IF($G530="","",IF(LOWER(TRIM($G530))=LOWER(TRIM($E530)),"Match","Mismatch"))</f>
        <v/>
      </c>
      <c r="J530" s="6"/>
    </row>
    <row r="531" customFormat="false" ht="15" hidden="false" customHeight="false" outlineLevel="0" collapsed="false">
      <c r="A531" s="5" t="s">
        <v>25</v>
      </c>
      <c r="B531" s="5" t="s">
        <v>333</v>
      </c>
      <c r="C531" s="5" t="s">
        <v>70</v>
      </c>
      <c r="D531" s="6" t="s">
        <v>80</v>
      </c>
      <c r="E531" s="5" t="s">
        <v>340</v>
      </c>
      <c r="F531" s="5" t="s">
        <v>345</v>
      </c>
      <c r="G531" s="7"/>
      <c r="H531" s="5" t="str">
        <f aca="false">IF($G531="","",IF(LOWER(TRIM($G531))=LOWER(TRIM($F531)),"Match","Mismatch"))</f>
        <v/>
      </c>
      <c r="I531" s="5" t="str">
        <f aca="false">IF($G531="","",IF(LOWER(TRIM($G531))=LOWER(TRIM($E531)),"Match","Mismatch"))</f>
        <v/>
      </c>
      <c r="J531" s="6"/>
    </row>
    <row r="532" customFormat="false" ht="15" hidden="false" customHeight="false" outlineLevel="0" collapsed="false">
      <c r="A532" s="5" t="s">
        <v>25</v>
      </c>
      <c r="B532" s="5" t="s">
        <v>333</v>
      </c>
      <c r="C532" s="5" t="s">
        <v>70</v>
      </c>
      <c r="D532" s="6" t="s">
        <v>82</v>
      </c>
      <c r="E532" s="5" t="s">
        <v>340</v>
      </c>
      <c r="F532" s="5" t="s">
        <v>346</v>
      </c>
      <c r="G532" s="7"/>
      <c r="H532" s="5" t="str">
        <f aca="false">IF($G532="","",IF(LOWER(TRIM($G532))=LOWER(TRIM($F532)),"Match","Mismatch"))</f>
        <v/>
      </c>
      <c r="I532" s="5" t="str">
        <f aca="false">IF($G532="","",IF(LOWER(TRIM($G532))=LOWER(TRIM($E532)),"Match","Mismatch"))</f>
        <v/>
      </c>
      <c r="J532" s="6"/>
    </row>
    <row r="533" customFormat="false" ht="15" hidden="false" customHeight="false" outlineLevel="0" collapsed="false">
      <c r="A533" s="5" t="s">
        <v>25</v>
      </c>
      <c r="B533" s="5" t="s">
        <v>333</v>
      </c>
      <c r="C533" s="5" t="s">
        <v>70</v>
      </c>
      <c r="D533" s="6" t="s">
        <v>84</v>
      </c>
      <c r="E533" s="5" t="s">
        <v>340</v>
      </c>
      <c r="F533" s="5" t="s">
        <v>101</v>
      </c>
      <c r="G533" s="7"/>
      <c r="H533" s="5" t="str">
        <f aca="false">IF($G533="","",IF(LOWER(TRIM($G533))=LOWER(TRIM($F533)),"Match","Mismatch"))</f>
        <v/>
      </c>
      <c r="I533" s="5" t="str">
        <f aca="false">IF($G533="","",IF(LOWER(TRIM($G533))=LOWER(TRIM($E533)),"Match","Mismatch"))</f>
        <v/>
      </c>
      <c r="J533" s="6"/>
    </row>
    <row r="534" customFormat="false" ht="15" hidden="false" customHeight="false" outlineLevel="0" collapsed="false">
      <c r="A534" s="5" t="s">
        <v>25</v>
      </c>
      <c r="B534" s="5" t="s">
        <v>333</v>
      </c>
      <c r="C534" s="5" t="s">
        <v>70</v>
      </c>
      <c r="D534" s="6" t="s">
        <v>86</v>
      </c>
      <c r="E534" s="5" t="s">
        <v>347</v>
      </c>
      <c r="F534" s="5" t="s">
        <v>348</v>
      </c>
      <c r="G534" s="7"/>
      <c r="H534" s="5" t="str">
        <f aca="false">IF($G534="","",IF(LOWER(TRIM($G534))=LOWER(TRIM($F534)),"Match","Mismatch"))</f>
        <v/>
      </c>
      <c r="I534" s="5" t="str">
        <f aca="false">IF($G534="","",IF(LOWER(TRIM($G534))=LOWER(TRIM($E534)),"Match","Mismatch"))</f>
        <v/>
      </c>
      <c r="J534" s="6"/>
    </row>
    <row r="535" customFormat="false" ht="23.85" hidden="false" customHeight="false" outlineLevel="0" collapsed="false">
      <c r="A535" s="5" t="s">
        <v>25</v>
      </c>
      <c r="B535" s="5" t="s">
        <v>349</v>
      </c>
      <c r="C535" s="5" t="s">
        <v>27</v>
      </c>
      <c r="D535" s="6" t="s">
        <v>34</v>
      </c>
      <c r="E535" s="5"/>
      <c r="F535" s="5" t="s">
        <v>29</v>
      </c>
      <c r="G535" s="7"/>
      <c r="H535" s="5" t="str">
        <f aca="false">IF($G535="","",IF(LOWER(TRIM($G535))=LOWER(TRIM($F535)),"Match","Mismatch"))</f>
        <v/>
      </c>
      <c r="I535" s="5" t="str">
        <f aca="false">IF($G535="","",IF(LOWER(TRIM($G535))=LOWER(TRIM($E535)),"Match","Mismatch"))</f>
        <v/>
      </c>
      <c r="J535" s="6"/>
    </row>
    <row r="536" customFormat="false" ht="23.85" hidden="false" customHeight="false" outlineLevel="0" collapsed="false">
      <c r="A536" s="5" t="s">
        <v>25</v>
      </c>
      <c r="B536" s="5" t="s">
        <v>349</v>
      </c>
      <c r="C536" s="5" t="s">
        <v>27</v>
      </c>
      <c r="D536" s="6" t="s">
        <v>38</v>
      </c>
      <c r="E536" s="5"/>
      <c r="F536" s="5" t="s">
        <v>29</v>
      </c>
      <c r="G536" s="7"/>
      <c r="H536" s="5" t="str">
        <f aca="false">IF($G536="","",IF(LOWER(TRIM($G536))=LOWER(TRIM($F536)),"Match","Mismatch"))</f>
        <v/>
      </c>
      <c r="I536" s="5" t="str">
        <f aca="false">IF($G536="","",IF(LOWER(TRIM($G536))=LOWER(TRIM($E536)),"Match","Mismatch"))</f>
        <v/>
      </c>
      <c r="J536" s="6"/>
    </row>
    <row r="537" customFormat="false" ht="15" hidden="false" customHeight="false" outlineLevel="0" collapsed="false">
      <c r="A537" s="5" t="s">
        <v>25</v>
      </c>
      <c r="B537" s="5" t="s">
        <v>349</v>
      </c>
      <c r="C537" s="5" t="s">
        <v>39</v>
      </c>
      <c r="D537" s="6" t="s">
        <v>40</v>
      </c>
      <c r="E537" s="5" t="s">
        <v>350</v>
      </c>
      <c r="F537" s="5" t="s">
        <v>46</v>
      </c>
      <c r="G537" s="7"/>
      <c r="H537" s="5" t="str">
        <f aca="false">IF($G537="","",IF(LOWER(TRIM($G537))=LOWER(TRIM($F537)),"Match","Mismatch"))</f>
        <v/>
      </c>
      <c r="I537" s="5" t="str">
        <f aca="false">IF($G537="","",IF(LOWER(TRIM($G537))=LOWER(TRIM($E537)),"Match","Mismatch"))</f>
        <v/>
      </c>
      <c r="J537" s="6"/>
    </row>
    <row r="538" customFormat="false" ht="23.85" hidden="false" customHeight="false" outlineLevel="0" collapsed="false">
      <c r="A538" s="5" t="s">
        <v>25</v>
      </c>
      <c r="B538" s="5" t="s">
        <v>349</v>
      </c>
      <c r="C538" s="5" t="s">
        <v>39</v>
      </c>
      <c r="D538" s="6" t="s">
        <v>42</v>
      </c>
      <c r="E538" s="5" t="s">
        <v>350</v>
      </c>
      <c r="F538" s="5" t="s">
        <v>41</v>
      </c>
      <c r="G538" s="7"/>
      <c r="H538" s="5" t="str">
        <f aca="false">IF($G538="","",IF(LOWER(TRIM($G538))=LOWER(TRIM($F538)),"Match","Mismatch"))</f>
        <v/>
      </c>
      <c r="I538" s="5" t="str">
        <f aca="false">IF($G538="","",IF(LOWER(TRIM($G538))=LOWER(TRIM($E538)),"Match","Mismatch"))</f>
        <v/>
      </c>
      <c r="J538" s="6"/>
    </row>
    <row r="539" customFormat="false" ht="23.85" hidden="false" customHeight="false" outlineLevel="0" collapsed="false">
      <c r="A539" s="5" t="s">
        <v>25</v>
      </c>
      <c r="B539" s="5" t="s">
        <v>349</v>
      </c>
      <c r="C539" s="5" t="s">
        <v>39</v>
      </c>
      <c r="D539" s="6" t="s">
        <v>44</v>
      </c>
      <c r="E539" s="5" t="s">
        <v>350</v>
      </c>
      <c r="F539" s="5" t="s">
        <v>41</v>
      </c>
      <c r="G539" s="7"/>
      <c r="H539" s="5" t="str">
        <f aca="false">IF($G539="","",IF(LOWER(TRIM($G539))=LOWER(TRIM($F539)),"Match","Mismatch"))</f>
        <v/>
      </c>
      <c r="I539" s="5" t="str">
        <f aca="false">IF($G539="","",IF(LOWER(TRIM($G539))=LOWER(TRIM($E539)),"Match","Mismatch"))</f>
        <v/>
      </c>
      <c r="J539" s="6"/>
    </row>
    <row r="540" customFormat="false" ht="15" hidden="false" customHeight="false" outlineLevel="0" collapsed="false">
      <c r="A540" s="5" t="s">
        <v>25</v>
      </c>
      <c r="B540" s="5" t="s">
        <v>349</v>
      </c>
      <c r="C540" s="5" t="s">
        <v>39</v>
      </c>
      <c r="D540" s="6" t="s">
        <v>45</v>
      </c>
      <c r="E540" s="5" t="s">
        <v>350</v>
      </c>
      <c r="F540" s="5" t="s">
        <v>46</v>
      </c>
      <c r="G540" s="7"/>
      <c r="H540" s="5" t="str">
        <f aca="false">IF($G540="","",IF(LOWER(TRIM($G540))=LOWER(TRIM($F540)),"Match","Mismatch"))</f>
        <v/>
      </c>
      <c r="I540" s="5" t="str">
        <f aca="false">IF($G540="","",IF(LOWER(TRIM($G540))=LOWER(TRIM($E540)),"Match","Mismatch"))</f>
        <v/>
      </c>
      <c r="J540" s="6"/>
    </row>
    <row r="541" customFormat="false" ht="15" hidden="false" customHeight="false" outlineLevel="0" collapsed="false">
      <c r="A541" s="5" t="s">
        <v>25</v>
      </c>
      <c r="B541" s="5" t="s">
        <v>349</v>
      </c>
      <c r="C541" s="5" t="s">
        <v>39</v>
      </c>
      <c r="D541" s="6" t="s">
        <v>47</v>
      </c>
      <c r="E541" s="5" t="s">
        <v>350</v>
      </c>
      <c r="F541" s="5" t="s">
        <v>41</v>
      </c>
      <c r="G541" s="7"/>
      <c r="H541" s="5" t="str">
        <f aca="false">IF($G541="","",IF(LOWER(TRIM($G541))=LOWER(TRIM($F541)),"Match","Mismatch"))</f>
        <v/>
      </c>
      <c r="I541" s="5" t="str">
        <f aca="false">IF($G541="","",IF(LOWER(TRIM($G541))=LOWER(TRIM($E541)),"Match","Mismatch"))</f>
        <v/>
      </c>
      <c r="J541" s="6"/>
    </row>
    <row r="542" customFormat="false" ht="15" hidden="false" customHeight="false" outlineLevel="0" collapsed="false">
      <c r="A542" s="5" t="s">
        <v>25</v>
      </c>
      <c r="B542" s="5" t="s">
        <v>349</v>
      </c>
      <c r="C542" s="5" t="s">
        <v>39</v>
      </c>
      <c r="D542" s="6" t="s">
        <v>48</v>
      </c>
      <c r="E542" s="5" t="s">
        <v>350</v>
      </c>
      <c r="F542" s="5" t="s">
        <v>46</v>
      </c>
      <c r="G542" s="7"/>
      <c r="H542" s="5" t="str">
        <f aca="false">IF($G542="","",IF(LOWER(TRIM($G542))=LOWER(TRIM($F542)),"Match","Mismatch"))</f>
        <v/>
      </c>
      <c r="I542" s="5" t="str">
        <f aca="false">IF($G542="","",IF(LOWER(TRIM($G542))=LOWER(TRIM($E542)),"Match","Mismatch"))</f>
        <v/>
      </c>
      <c r="J542" s="6"/>
    </row>
    <row r="543" customFormat="false" ht="15" hidden="false" customHeight="false" outlineLevel="0" collapsed="false">
      <c r="A543" s="5" t="s">
        <v>25</v>
      </c>
      <c r="B543" s="5" t="s">
        <v>349</v>
      </c>
      <c r="C543" s="5" t="s">
        <v>39</v>
      </c>
      <c r="D543" s="6" t="s">
        <v>49</v>
      </c>
      <c r="E543" s="5" t="s">
        <v>350</v>
      </c>
      <c r="F543" s="5" t="s">
        <v>46</v>
      </c>
      <c r="G543" s="7"/>
      <c r="H543" s="5" t="str">
        <f aca="false">IF($G543="","",IF(LOWER(TRIM($G543))=LOWER(TRIM($F543)),"Match","Mismatch"))</f>
        <v/>
      </c>
      <c r="I543" s="5" t="str">
        <f aca="false">IF($G543="","",IF(LOWER(TRIM($G543))=LOWER(TRIM($E543)),"Match","Mismatch"))</f>
        <v/>
      </c>
      <c r="J543" s="6"/>
    </row>
    <row r="544" customFormat="false" ht="23.85" hidden="false" customHeight="false" outlineLevel="0" collapsed="false">
      <c r="A544" s="5" t="s">
        <v>25</v>
      </c>
      <c r="B544" s="5" t="s">
        <v>349</v>
      </c>
      <c r="C544" s="5" t="s">
        <v>39</v>
      </c>
      <c r="D544" s="6" t="s">
        <v>50</v>
      </c>
      <c r="E544" s="5" t="s">
        <v>350</v>
      </c>
      <c r="F544" s="5" t="s">
        <v>41</v>
      </c>
      <c r="G544" s="7"/>
      <c r="H544" s="5" t="str">
        <f aca="false">IF($G544="","",IF(LOWER(TRIM($G544))=LOWER(TRIM($F544)),"Match","Mismatch"))</f>
        <v/>
      </c>
      <c r="I544" s="5" t="str">
        <f aca="false">IF($G544="","",IF(LOWER(TRIM($G544))=LOWER(TRIM($E544)),"Match","Mismatch"))</f>
        <v/>
      </c>
      <c r="J544" s="6"/>
    </row>
    <row r="545" customFormat="false" ht="15" hidden="false" customHeight="false" outlineLevel="0" collapsed="false">
      <c r="A545" s="5" t="s">
        <v>25</v>
      </c>
      <c r="B545" s="5" t="s">
        <v>349</v>
      </c>
      <c r="C545" s="5" t="s">
        <v>39</v>
      </c>
      <c r="D545" s="6" t="s">
        <v>51</v>
      </c>
      <c r="E545" s="5" t="s">
        <v>350</v>
      </c>
      <c r="F545" s="5" t="s">
        <v>46</v>
      </c>
      <c r="G545" s="7"/>
      <c r="H545" s="5" t="str">
        <f aca="false">IF($G545="","",IF(LOWER(TRIM($G545))=LOWER(TRIM($F545)),"Match","Mismatch"))</f>
        <v/>
      </c>
      <c r="I545" s="5" t="str">
        <f aca="false">IF($G545="","",IF(LOWER(TRIM($G545))=LOWER(TRIM($E545)),"Match","Mismatch"))</f>
        <v/>
      </c>
      <c r="J545" s="6"/>
    </row>
    <row r="546" customFormat="false" ht="15" hidden="false" customHeight="false" outlineLevel="0" collapsed="false">
      <c r="A546" s="5" t="s">
        <v>25</v>
      </c>
      <c r="B546" s="5" t="s">
        <v>349</v>
      </c>
      <c r="C546" s="5" t="s">
        <v>39</v>
      </c>
      <c r="D546" s="6" t="s">
        <v>52</v>
      </c>
      <c r="E546" s="5" t="s">
        <v>350</v>
      </c>
      <c r="F546" s="5" t="s">
        <v>46</v>
      </c>
      <c r="G546" s="7"/>
      <c r="H546" s="5" t="str">
        <f aca="false">IF($G546="","",IF(LOWER(TRIM($G546))=LOWER(TRIM($F546)),"Match","Mismatch"))</f>
        <v/>
      </c>
      <c r="I546" s="5" t="str">
        <f aca="false">IF($G546="","",IF(LOWER(TRIM($G546))=LOWER(TRIM($E546)),"Match","Mismatch"))</f>
        <v/>
      </c>
      <c r="J546" s="6"/>
    </row>
    <row r="547" customFormat="false" ht="15" hidden="false" customHeight="false" outlineLevel="0" collapsed="false">
      <c r="A547" s="5" t="s">
        <v>25</v>
      </c>
      <c r="B547" s="5" t="s">
        <v>349</v>
      </c>
      <c r="C547" s="5" t="s">
        <v>39</v>
      </c>
      <c r="D547" s="6" t="s">
        <v>53</v>
      </c>
      <c r="E547" s="5" t="s">
        <v>350</v>
      </c>
      <c r="F547" s="5" t="s">
        <v>46</v>
      </c>
      <c r="G547" s="7"/>
      <c r="H547" s="5" t="str">
        <f aca="false">IF($G547="","",IF(LOWER(TRIM($G547))=LOWER(TRIM($F547)),"Match","Mismatch"))</f>
        <v/>
      </c>
      <c r="I547" s="5" t="str">
        <f aca="false">IF($G547="","",IF(LOWER(TRIM($G547))=LOWER(TRIM($E547)),"Match","Mismatch"))</f>
        <v/>
      </c>
      <c r="J547" s="6"/>
    </row>
    <row r="548" customFormat="false" ht="15" hidden="false" customHeight="false" outlineLevel="0" collapsed="false">
      <c r="A548" s="5" t="s">
        <v>25</v>
      </c>
      <c r="B548" s="5" t="s">
        <v>349</v>
      </c>
      <c r="C548" s="5" t="s">
        <v>39</v>
      </c>
      <c r="D548" s="6" t="s">
        <v>54</v>
      </c>
      <c r="E548" s="5" t="s">
        <v>350</v>
      </c>
      <c r="F548" s="5" t="s">
        <v>46</v>
      </c>
      <c r="G548" s="7"/>
      <c r="H548" s="5" t="str">
        <f aca="false">IF($G548="","",IF(LOWER(TRIM($G548))=LOWER(TRIM($F548)),"Match","Mismatch"))</f>
        <v/>
      </c>
      <c r="I548" s="5" t="str">
        <f aca="false">IF($G548="","",IF(LOWER(TRIM($G548))=LOWER(TRIM($E548)),"Match","Mismatch"))</f>
        <v/>
      </c>
      <c r="J548" s="6"/>
    </row>
    <row r="549" customFormat="false" ht="23.85" hidden="false" customHeight="false" outlineLevel="0" collapsed="false">
      <c r="A549" s="5" t="s">
        <v>25</v>
      </c>
      <c r="B549" s="5" t="s">
        <v>349</v>
      </c>
      <c r="C549" s="5" t="s">
        <v>39</v>
      </c>
      <c r="D549" s="6" t="s">
        <v>56</v>
      </c>
      <c r="E549" s="5" t="s">
        <v>350</v>
      </c>
      <c r="F549" s="5" t="s">
        <v>41</v>
      </c>
      <c r="G549" s="7"/>
      <c r="H549" s="5" t="str">
        <f aca="false">IF($G549="","",IF(LOWER(TRIM($G549))=LOWER(TRIM($F549)),"Match","Mismatch"))</f>
        <v/>
      </c>
      <c r="I549" s="5" t="str">
        <f aca="false">IF($G549="","",IF(LOWER(TRIM($G549))=LOWER(TRIM($E549)),"Match","Mismatch"))</f>
        <v/>
      </c>
      <c r="J549" s="6"/>
    </row>
    <row r="550" customFormat="false" ht="15" hidden="false" customHeight="false" outlineLevel="0" collapsed="false">
      <c r="A550" s="5" t="s">
        <v>25</v>
      </c>
      <c r="B550" s="5" t="s">
        <v>349</v>
      </c>
      <c r="C550" s="5" t="s">
        <v>39</v>
      </c>
      <c r="D550" s="6" t="s">
        <v>57</v>
      </c>
      <c r="E550" s="5" t="s">
        <v>350</v>
      </c>
      <c r="F550" s="5" t="s">
        <v>41</v>
      </c>
      <c r="G550" s="7"/>
      <c r="H550" s="5" t="str">
        <f aca="false">IF($G550="","",IF(LOWER(TRIM($G550))=LOWER(TRIM($F550)),"Match","Mismatch"))</f>
        <v/>
      </c>
      <c r="I550" s="5" t="str">
        <f aca="false">IF($G550="","",IF(LOWER(TRIM($G550))=LOWER(TRIM($E550)),"Match","Mismatch"))</f>
        <v/>
      </c>
      <c r="J550" s="6"/>
    </row>
    <row r="551" customFormat="false" ht="15" hidden="false" customHeight="false" outlineLevel="0" collapsed="false">
      <c r="A551" s="5" t="s">
        <v>25</v>
      </c>
      <c r="B551" s="5" t="s">
        <v>349</v>
      </c>
      <c r="C551" s="5" t="s">
        <v>39</v>
      </c>
      <c r="D551" s="6" t="s">
        <v>58</v>
      </c>
      <c r="E551" s="5" t="s">
        <v>350</v>
      </c>
      <c r="F551" s="5" t="s">
        <v>41</v>
      </c>
      <c r="G551" s="7"/>
      <c r="H551" s="5" t="str">
        <f aca="false">IF($G551="","",IF(LOWER(TRIM($G551))=LOWER(TRIM($F551)),"Match","Mismatch"))</f>
        <v/>
      </c>
      <c r="I551" s="5" t="str">
        <f aca="false">IF($G551="","",IF(LOWER(TRIM($G551))=LOWER(TRIM($E551)),"Match","Mismatch"))</f>
        <v/>
      </c>
      <c r="J551" s="6"/>
    </row>
    <row r="552" customFormat="false" ht="23.85" hidden="false" customHeight="false" outlineLevel="0" collapsed="false">
      <c r="A552" s="5" t="s">
        <v>25</v>
      </c>
      <c r="B552" s="5" t="s">
        <v>349</v>
      </c>
      <c r="C552" s="5" t="s">
        <v>59</v>
      </c>
      <c r="D552" s="6" t="s">
        <v>65</v>
      </c>
      <c r="E552" s="5"/>
      <c r="F552" s="5" t="s">
        <v>31</v>
      </c>
      <c r="G552" s="7"/>
      <c r="H552" s="5" t="str">
        <f aca="false">IF($G552="","",IF(LOWER(TRIM($G552))=LOWER(TRIM($F552)),"Match","Mismatch"))</f>
        <v/>
      </c>
      <c r="I552" s="5" t="str">
        <f aca="false">IF($G552="","",IF(LOWER(TRIM($G552))=LOWER(TRIM($E552)),"Match","Mismatch"))</f>
        <v/>
      </c>
      <c r="J552" s="6"/>
    </row>
    <row r="553" customFormat="false" ht="23.85" hidden="false" customHeight="false" outlineLevel="0" collapsed="false">
      <c r="A553" s="5" t="s">
        <v>25</v>
      </c>
      <c r="B553" s="5" t="s">
        <v>349</v>
      </c>
      <c r="C553" s="5" t="s">
        <v>59</v>
      </c>
      <c r="D553" s="6" t="s">
        <v>66</v>
      </c>
      <c r="E553" s="5"/>
      <c r="F553" s="5" t="s">
        <v>31</v>
      </c>
      <c r="G553" s="7"/>
      <c r="H553" s="5" t="str">
        <f aca="false">IF($G553="","",IF(LOWER(TRIM($G553))=LOWER(TRIM($F553)),"Match","Mismatch"))</f>
        <v/>
      </c>
      <c r="I553" s="5" t="str">
        <f aca="false">IF($G553="","",IF(LOWER(TRIM($G553))=LOWER(TRIM($E553)),"Match","Mismatch"))</f>
        <v/>
      </c>
      <c r="J553" s="6"/>
    </row>
    <row r="554" customFormat="false" ht="15" hidden="false" customHeight="false" outlineLevel="0" collapsed="false">
      <c r="A554" s="5" t="s">
        <v>25</v>
      </c>
      <c r="B554" s="5" t="s">
        <v>349</v>
      </c>
      <c r="C554" s="5" t="s">
        <v>70</v>
      </c>
      <c r="D554" s="6" t="s">
        <v>71</v>
      </c>
      <c r="E554" s="5" t="s">
        <v>351</v>
      </c>
      <c r="F554" s="5" t="s">
        <v>352</v>
      </c>
      <c r="G554" s="7"/>
      <c r="H554" s="5" t="str">
        <f aca="false">IF($G554="","",IF(LOWER(TRIM($G554))=LOWER(TRIM($F554)),"Match","Mismatch"))</f>
        <v/>
      </c>
      <c r="I554" s="5" t="str">
        <f aca="false">IF($G554="","",IF(LOWER(TRIM($G554))=LOWER(TRIM($E554)),"Match","Mismatch"))</f>
        <v/>
      </c>
      <c r="J554" s="6"/>
    </row>
    <row r="555" customFormat="false" ht="15" hidden="false" customHeight="false" outlineLevel="0" collapsed="false">
      <c r="A555" s="5" t="s">
        <v>25</v>
      </c>
      <c r="B555" s="5" t="s">
        <v>349</v>
      </c>
      <c r="C555" s="5" t="s">
        <v>70</v>
      </c>
      <c r="D555" s="6" t="s">
        <v>73</v>
      </c>
      <c r="E555" s="5" t="s">
        <v>353</v>
      </c>
      <c r="F555" s="5" t="s">
        <v>354</v>
      </c>
      <c r="G555" s="7"/>
      <c r="H555" s="5" t="str">
        <f aca="false">IF($G555="","",IF(LOWER(TRIM($G555))=LOWER(TRIM($F555)),"Match","Mismatch"))</f>
        <v/>
      </c>
      <c r="I555" s="5" t="str">
        <f aca="false">IF($G555="","",IF(LOWER(TRIM($G555))=LOWER(TRIM($E555)),"Match","Mismatch"))</f>
        <v/>
      </c>
      <c r="J555" s="6"/>
    </row>
    <row r="556" customFormat="false" ht="15" hidden="false" customHeight="false" outlineLevel="0" collapsed="false">
      <c r="A556" s="5" t="s">
        <v>25</v>
      </c>
      <c r="B556" s="5" t="s">
        <v>349</v>
      </c>
      <c r="C556" s="5" t="s">
        <v>70</v>
      </c>
      <c r="D556" s="6" t="s">
        <v>77</v>
      </c>
      <c r="E556" s="5" t="s">
        <v>355</v>
      </c>
      <c r="F556" s="5" t="s">
        <v>356</v>
      </c>
      <c r="G556" s="7"/>
      <c r="H556" s="5" t="str">
        <f aca="false">IF($G556="","",IF(LOWER(TRIM($G556))=LOWER(TRIM($F556)),"Match","Mismatch"))</f>
        <v/>
      </c>
      <c r="I556" s="5" t="str">
        <f aca="false">IF($G556="","",IF(LOWER(TRIM($G556))=LOWER(TRIM($E556)),"Match","Mismatch"))</f>
        <v/>
      </c>
      <c r="J556" s="6"/>
    </row>
    <row r="557" customFormat="false" ht="15" hidden="false" customHeight="false" outlineLevel="0" collapsed="false">
      <c r="A557" s="5" t="s">
        <v>25</v>
      </c>
      <c r="B557" s="5" t="s">
        <v>349</v>
      </c>
      <c r="C557" s="5" t="s">
        <v>70</v>
      </c>
      <c r="D557" s="6" t="s">
        <v>80</v>
      </c>
      <c r="E557" s="5" t="s">
        <v>357</v>
      </c>
      <c r="F557" s="5" t="s">
        <v>358</v>
      </c>
      <c r="G557" s="7"/>
      <c r="H557" s="5" t="str">
        <f aca="false">IF($G557="","",IF(LOWER(TRIM($G557))=LOWER(TRIM($F557)),"Match","Mismatch"))</f>
        <v/>
      </c>
      <c r="I557" s="5" t="str">
        <f aca="false">IF($G557="","",IF(LOWER(TRIM($G557))=LOWER(TRIM($E557)),"Match","Mismatch"))</f>
        <v/>
      </c>
      <c r="J557" s="6"/>
    </row>
    <row r="558" customFormat="false" ht="23.85" hidden="false" customHeight="false" outlineLevel="0" collapsed="false">
      <c r="A558" s="5" t="s">
        <v>25</v>
      </c>
      <c r="B558" s="5" t="s">
        <v>359</v>
      </c>
      <c r="C558" s="5" t="s">
        <v>27</v>
      </c>
      <c r="D558" s="6" t="s">
        <v>28</v>
      </c>
      <c r="E558" s="5"/>
      <c r="F558" s="5" t="s">
        <v>29</v>
      </c>
      <c r="G558" s="7"/>
      <c r="H558" s="5" t="str">
        <f aca="false">IF($G558="","",IF(LOWER(TRIM($G558))=LOWER(TRIM($F558)),"Match","Mismatch"))</f>
        <v/>
      </c>
      <c r="I558" s="5" t="str">
        <f aca="false">IF($G558="","",IF(LOWER(TRIM($G558))=LOWER(TRIM($E558)),"Match","Mismatch"))</f>
        <v/>
      </c>
      <c r="J558" s="6"/>
    </row>
    <row r="559" customFormat="false" ht="23.85" hidden="false" customHeight="false" outlineLevel="0" collapsed="false">
      <c r="A559" s="5" t="s">
        <v>25</v>
      </c>
      <c r="B559" s="5" t="s">
        <v>359</v>
      </c>
      <c r="C559" s="5" t="s">
        <v>27</v>
      </c>
      <c r="D559" s="6" t="s">
        <v>30</v>
      </c>
      <c r="E559" s="5"/>
      <c r="F559" s="5" t="s">
        <v>31</v>
      </c>
      <c r="G559" s="7"/>
      <c r="H559" s="5" t="str">
        <f aca="false">IF($G559="","",IF(LOWER(TRIM($G559))=LOWER(TRIM($F559)),"Match","Mismatch"))</f>
        <v/>
      </c>
      <c r="I559" s="5" t="str">
        <f aca="false">IF($G559="","",IF(LOWER(TRIM($G559))=LOWER(TRIM($E559)),"Match","Mismatch"))</f>
        <v/>
      </c>
      <c r="J559" s="6"/>
    </row>
    <row r="560" customFormat="false" ht="35.05" hidden="false" customHeight="false" outlineLevel="0" collapsed="false">
      <c r="A560" s="5" t="s">
        <v>25</v>
      </c>
      <c r="B560" s="5" t="s">
        <v>359</v>
      </c>
      <c r="C560" s="5" t="s">
        <v>27</v>
      </c>
      <c r="D560" s="6" t="s">
        <v>33</v>
      </c>
      <c r="E560" s="5"/>
      <c r="F560" s="5" t="s">
        <v>31</v>
      </c>
      <c r="G560" s="7"/>
      <c r="H560" s="5" t="str">
        <f aca="false">IF($G560="","",IF(LOWER(TRIM($G560))=LOWER(TRIM($F560)),"Match","Mismatch"))</f>
        <v/>
      </c>
      <c r="I560" s="5" t="str">
        <f aca="false">IF($G560="","",IF(LOWER(TRIM($G560))=LOWER(TRIM($E560)),"Match","Mismatch"))</f>
        <v/>
      </c>
      <c r="J560" s="6"/>
    </row>
    <row r="561" customFormat="false" ht="15" hidden="false" customHeight="false" outlineLevel="0" collapsed="false">
      <c r="A561" s="5" t="s">
        <v>25</v>
      </c>
      <c r="B561" s="5" t="s">
        <v>359</v>
      </c>
      <c r="C561" s="5" t="s">
        <v>27</v>
      </c>
      <c r="D561" s="6" t="s">
        <v>35</v>
      </c>
      <c r="E561" s="5" t="s">
        <v>360</v>
      </c>
      <c r="F561" s="5" t="s">
        <v>361</v>
      </c>
      <c r="G561" s="7"/>
      <c r="H561" s="5" t="str">
        <f aca="false">IF($G561="","",IF(LOWER(TRIM($G561))=LOWER(TRIM($F561)),"Match","Mismatch"))</f>
        <v/>
      </c>
      <c r="I561" s="5" t="str">
        <f aca="false">IF($G561="","",IF(LOWER(TRIM($G561))=LOWER(TRIM($E561)),"Match","Mismatch"))</f>
        <v/>
      </c>
      <c r="J561" s="6"/>
    </row>
    <row r="562" customFormat="false" ht="23.85" hidden="false" customHeight="false" outlineLevel="0" collapsed="false">
      <c r="A562" s="5" t="s">
        <v>25</v>
      </c>
      <c r="B562" s="5" t="s">
        <v>359</v>
      </c>
      <c r="C562" s="5" t="s">
        <v>27</v>
      </c>
      <c r="D562" s="6" t="s">
        <v>37</v>
      </c>
      <c r="E562" s="5"/>
      <c r="F562" s="5" t="s">
        <v>31</v>
      </c>
      <c r="G562" s="7"/>
      <c r="H562" s="5" t="str">
        <f aca="false">IF($G562="","",IF(LOWER(TRIM($G562))=LOWER(TRIM($F562)),"Match","Mismatch"))</f>
        <v/>
      </c>
      <c r="I562" s="5" t="str">
        <f aca="false">IF($G562="","",IF(LOWER(TRIM($G562))=LOWER(TRIM($E562)),"Match","Mismatch"))</f>
        <v/>
      </c>
      <c r="J562" s="6"/>
    </row>
    <row r="563" customFormat="false" ht="23.85" hidden="false" customHeight="false" outlineLevel="0" collapsed="false">
      <c r="A563" s="5" t="s">
        <v>25</v>
      </c>
      <c r="B563" s="5" t="s">
        <v>359</v>
      </c>
      <c r="C563" s="5" t="s">
        <v>39</v>
      </c>
      <c r="D563" s="6" t="s">
        <v>42</v>
      </c>
      <c r="E563" s="5" t="s">
        <v>43</v>
      </c>
      <c r="F563" s="5" t="s">
        <v>55</v>
      </c>
      <c r="G563" s="7"/>
      <c r="H563" s="5" t="str">
        <f aca="false">IF($G563="","",IF(LOWER(TRIM($G563))=LOWER(TRIM($F563)),"Match","Mismatch"))</f>
        <v/>
      </c>
      <c r="I563" s="5" t="str">
        <f aca="false">IF($G563="","",IF(LOWER(TRIM($G563))=LOWER(TRIM($E563)),"Match","Mismatch"))</f>
        <v/>
      </c>
      <c r="J563" s="6"/>
    </row>
    <row r="564" customFormat="false" ht="23.85" hidden="false" customHeight="false" outlineLevel="0" collapsed="false">
      <c r="A564" s="5" t="s">
        <v>25</v>
      </c>
      <c r="B564" s="5" t="s">
        <v>359</v>
      </c>
      <c r="C564" s="5" t="s">
        <v>39</v>
      </c>
      <c r="D564" s="6" t="s">
        <v>44</v>
      </c>
      <c r="E564" s="5" t="s">
        <v>46</v>
      </c>
      <c r="F564" s="5" t="s">
        <v>55</v>
      </c>
      <c r="G564" s="7"/>
      <c r="H564" s="5" t="str">
        <f aca="false">IF($G564="","",IF(LOWER(TRIM($G564))=LOWER(TRIM($F564)),"Match","Mismatch"))</f>
        <v/>
      </c>
      <c r="I564" s="5" t="str">
        <f aca="false">IF($G564="","",IF(LOWER(TRIM($G564))=LOWER(TRIM($E564)),"Match","Mismatch"))</f>
        <v/>
      </c>
      <c r="J564" s="6"/>
    </row>
    <row r="565" customFormat="false" ht="23.85" hidden="false" customHeight="false" outlineLevel="0" collapsed="false">
      <c r="A565" s="5" t="s">
        <v>25</v>
      </c>
      <c r="B565" s="5" t="s">
        <v>359</v>
      </c>
      <c r="C565" s="5" t="s">
        <v>39</v>
      </c>
      <c r="D565" s="6" t="s">
        <v>56</v>
      </c>
      <c r="E565" s="5" t="s">
        <v>46</v>
      </c>
      <c r="F565" s="5" t="s">
        <v>41</v>
      </c>
      <c r="G565" s="7"/>
      <c r="H565" s="5" t="str">
        <f aca="false">IF($G565="","",IF(LOWER(TRIM($G565))=LOWER(TRIM($F565)),"Match","Mismatch"))</f>
        <v/>
      </c>
      <c r="I565" s="5" t="str">
        <f aca="false">IF($G565="","",IF(LOWER(TRIM($G565))=LOWER(TRIM($E565)),"Match","Mismatch"))</f>
        <v/>
      </c>
      <c r="J565" s="6"/>
    </row>
    <row r="566" customFormat="false" ht="15" hidden="false" customHeight="false" outlineLevel="0" collapsed="false">
      <c r="A566" s="5" t="s">
        <v>25</v>
      </c>
      <c r="B566" s="5" t="s">
        <v>359</v>
      </c>
      <c r="C566" s="5" t="s">
        <v>39</v>
      </c>
      <c r="D566" s="6" t="s">
        <v>57</v>
      </c>
      <c r="E566" s="5" t="s">
        <v>46</v>
      </c>
      <c r="F566" s="5" t="s">
        <v>41</v>
      </c>
      <c r="G566" s="7"/>
      <c r="H566" s="5" t="str">
        <f aca="false">IF($G566="","",IF(LOWER(TRIM($G566))=LOWER(TRIM($F566)),"Match","Mismatch"))</f>
        <v/>
      </c>
      <c r="I566" s="5" t="str">
        <f aca="false">IF($G566="","",IF(LOWER(TRIM($G566))=LOWER(TRIM($E566)),"Match","Mismatch"))</f>
        <v/>
      </c>
      <c r="J566" s="6"/>
    </row>
    <row r="567" customFormat="false" ht="23.85" hidden="false" customHeight="false" outlineLevel="0" collapsed="false">
      <c r="A567" s="5" t="s">
        <v>25</v>
      </c>
      <c r="B567" s="5" t="s">
        <v>359</v>
      </c>
      <c r="C567" s="5" t="s">
        <v>59</v>
      </c>
      <c r="D567" s="6" t="s">
        <v>61</v>
      </c>
      <c r="E567" s="5" t="s">
        <v>29</v>
      </c>
      <c r="F567" s="5" t="s">
        <v>31</v>
      </c>
      <c r="G567" s="7"/>
      <c r="H567" s="5" t="str">
        <f aca="false">IF($G567="","",IF(LOWER(TRIM($G567))=LOWER(TRIM($F567)),"Match","Mismatch"))</f>
        <v/>
      </c>
      <c r="I567" s="5" t="str">
        <f aca="false">IF($G567="","",IF(LOWER(TRIM($G567))=LOWER(TRIM($E567)),"Match","Mismatch"))</f>
        <v/>
      </c>
      <c r="J567" s="6"/>
    </row>
    <row r="568" customFormat="false" ht="15" hidden="false" customHeight="false" outlineLevel="0" collapsed="false">
      <c r="A568" s="5" t="s">
        <v>25</v>
      </c>
      <c r="B568" s="5" t="s">
        <v>359</v>
      </c>
      <c r="C568" s="5" t="s">
        <v>59</v>
      </c>
      <c r="D568" s="6" t="s">
        <v>62</v>
      </c>
      <c r="E568" s="5" t="s">
        <v>29</v>
      </c>
      <c r="F568" s="5" t="s">
        <v>31</v>
      </c>
      <c r="G568" s="7"/>
      <c r="H568" s="5" t="str">
        <f aca="false">IF($G568="","",IF(LOWER(TRIM($G568))=LOWER(TRIM($F568)),"Match","Mismatch"))</f>
        <v/>
      </c>
      <c r="I568" s="5" t="str">
        <f aca="false">IF($G568="","",IF(LOWER(TRIM($G568))=LOWER(TRIM($E568)),"Match","Mismatch"))</f>
        <v/>
      </c>
      <c r="J568" s="6"/>
    </row>
    <row r="569" customFormat="false" ht="15" hidden="false" customHeight="false" outlineLevel="0" collapsed="false">
      <c r="A569" s="5" t="s">
        <v>25</v>
      </c>
      <c r="B569" s="5" t="s">
        <v>359</v>
      </c>
      <c r="C569" s="5" t="s">
        <v>59</v>
      </c>
      <c r="D569" s="6" t="s">
        <v>63</v>
      </c>
      <c r="E569" s="5" t="s">
        <v>362</v>
      </c>
      <c r="F569" s="5" t="s">
        <v>363</v>
      </c>
      <c r="G569" s="7"/>
      <c r="H569" s="5" t="str">
        <f aca="false">IF($G569="","",IF(LOWER(TRIM($G569))=LOWER(TRIM($F569)),"Match","Mismatch"))</f>
        <v/>
      </c>
      <c r="I569" s="5" t="str">
        <f aca="false">IF($G569="","",IF(LOWER(TRIM($G569))=LOWER(TRIM($E569)),"Match","Mismatch"))</f>
        <v/>
      </c>
      <c r="J569" s="6"/>
    </row>
    <row r="570" customFormat="false" ht="23.85" hidden="false" customHeight="false" outlineLevel="0" collapsed="false">
      <c r="A570" s="5" t="s">
        <v>25</v>
      </c>
      <c r="B570" s="5" t="s">
        <v>359</v>
      </c>
      <c r="C570" s="5" t="s">
        <v>59</v>
      </c>
      <c r="D570" s="6" t="s">
        <v>65</v>
      </c>
      <c r="E570" s="5" t="s">
        <v>29</v>
      </c>
      <c r="F570" s="5" t="s">
        <v>31</v>
      </c>
      <c r="G570" s="7"/>
      <c r="H570" s="5" t="str">
        <f aca="false">IF($G570="","",IF(LOWER(TRIM($G570))=LOWER(TRIM($F570)),"Match","Mismatch"))</f>
        <v/>
      </c>
      <c r="I570" s="5" t="str">
        <f aca="false">IF($G570="","",IF(LOWER(TRIM($G570))=LOWER(TRIM($E570)),"Match","Mismatch"))</f>
        <v/>
      </c>
      <c r="J570" s="6"/>
    </row>
    <row r="571" customFormat="false" ht="23.85" hidden="false" customHeight="false" outlineLevel="0" collapsed="false">
      <c r="A571" s="5" t="s">
        <v>25</v>
      </c>
      <c r="B571" s="5" t="s">
        <v>359</v>
      </c>
      <c r="C571" s="5" t="s">
        <v>59</v>
      </c>
      <c r="D571" s="6" t="s">
        <v>66</v>
      </c>
      <c r="E571" s="5" t="s">
        <v>29</v>
      </c>
      <c r="F571" s="5" t="s">
        <v>31</v>
      </c>
      <c r="G571" s="7"/>
      <c r="H571" s="5" t="str">
        <f aca="false">IF($G571="","",IF(LOWER(TRIM($G571))=LOWER(TRIM($F571)),"Match","Mismatch"))</f>
        <v/>
      </c>
      <c r="I571" s="5" t="str">
        <f aca="false">IF($G571="","",IF(LOWER(TRIM($G571))=LOWER(TRIM($E571)),"Match","Mismatch"))</f>
        <v/>
      </c>
      <c r="J571" s="6"/>
    </row>
    <row r="572" customFormat="false" ht="15" hidden="false" customHeight="false" outlineLevel="0" collapsed="false">
      <c r="A572" s="5" t="s">
        <v>25</v>
      </c>
      <c r="B572" s="5" t="s">
        <v>359</v>
      </c>
      <c r="C572" s="5" t="s">
        <v>67</v>
      </c>
      <c r="D572" s="6" t="s">
        <v>68</v>
      </c>
      <c r="E572" s="5" t="s">
        <v>364</v>
      </c>
      <c r="F572" s="5" t="s">
        <v>365</v>
      </c>
      <c r="G572" s="7"/>
      <c r="H572" s="5" t="str">
        <f aca="false">IF($G572="","",IF(LOWER(TRIM($G572))=LOWER(TRIM($F572)),"Match","Mismatch"))</f>
        <v/>
      </c>
      <c r="I572" s="5" t="str">
        <f aca="false">IF($G572="","",IF(LOWER(TRIM($G572))=LOWER(TRIM($E572)),"Match","Mismatch"))</f>
        <v/>
      </c>
      <c r="J572" s="6"/>
    </row>
    <row r="573" customFormat="false" ht="15" hidden="false" customHeight="false" outlineLevel="0" collapsed="false">
      <c r="A573" s="5" t="s">
        <v>25</v>
      </c>
      <c r="B573" s="5" t="s">
        <v>359</v>
      </c>
      <c r="C573" s="5" t="s">
        <v>70</v>
      </c>
      <c r="D573" s="6" t="s">
        <v>71</v>
      </c>
      <c r="E573" s="5" t="s">
        <v>366</v>
      </c>
      <c r="F573" s="5" t="s">
        <v>367</v>
      </c>
      <c r="G573" s="7"/>
      <c r="H573" s="5" t="str">
        <f aca="false">IF($G573="","",IF(LOWER(TRIM($G573))=LOWER(TRIM($F573)),"Match","Mismatch"))</f>
        <v/>
      </c>
      <c r="I573" s="5" t="str">
        <f aca="false">IF($G573="","",IF(LOWER(TRIM($G573))=LOWER(TRIM($E573)),"Match","Mismatch"))</f>
        <v/>
      </c>
      <c r="J573" s="6"/>
    </row>
    <row r="574" customFormat="false" ht="15" hidden="false" customHeight="false" outlineLevel="0" collapsed="false">
      <c r="A574" s="5" t="s">
        <v>25</v>
      </c>
      <c r="B574" s="5" t="s">
        <v>359</v>
      </c>
      <c r="C574" s="5" t="s">
        <v>70</v>
      </c>
      <c r="D574" s="6" t="s">
        <v>73</v>
      </c>
      <c r="E574" s="5" t="s">
        <v>366</v>
      </c>
      <c r="F574" s="5" t="s">
        <v>368</v>
      </c>
      <c r="G574" s="7"/>
      <c r="H574" s="5" t="str">
        <f aca="false">IF($G574="","",IF(LOWER(TRIM($G574))=LOWER(TRIM($F574)),"Match","Mismatch"))</f>
        <v/>
      </c>
      <c r="I574" s="5" t="str">
        <f aca="false">IF($G574="","",IF(LOWER(TRIM($G574))=LOWER(TRIM($E574)),"Match","Mismatch"))</f>
        <v/>
      </c>
      <c r="J574" s="6"/>
    </row>
    <row r="575" customFormat="false" ht="15" hidden="false" customHeight="false" outlineLevel="0" collapsed="false">
      <c r="A575" s="5" t="s">
        <v>25</v>
      </c>
      <c r="B575" s="5" t="s">
        <v>359</v>
      </c>
      <c r="C575" s="5" t="s">
        <v>70</v>
      </c>
      <c r="D575" s="6" t="s">
        <v>75</v>
      </c>
      <c r="E575" s="5" t="s">
        <v>366</v>
      </c>
      <c r="F575" s="5" t="s">
        <v>369</v>
      </c>
      <c r="G575" s="7"/>
      <c r="H575" s="5" t="str">
        <f aca="false">IF($G575="","",IF(LOWER(TRIM($G575))=LOWER(TRIM($F575)),"Match","Mismatch"))</f>
        <v/>
      </c>
      <c r="I575" s="5" t="str">
        <f aca="false">IF($G575="","",IF(LOWER(TRIM($G575))=LOWER(TRIM($E575)),"Match","Mismatch"))</f>
        <v/>
      </c>
      <c r="J575" s="6"/>
    </row>
    <row r="576" customFormat="false" ht="15" hidden="false" customHeight="false" outlineLevel="0" collapsed="false">
      <c r="A576" s="5" t="s">
        <v>25</v>
      </c>
      <c r="B576" s="5" t="s">
        <v>359</v>
      </c>
      <c r="C576" s="5" t="s">
        <v>70</v>
      </c>
      <c r="D576" s="6" t="s">
        <v>77</v>
      </c>
      <c r="E576" s="5" t="s">
        <v>366</v>
      </c>
      <c r="F576" s="5" t="s">
        <v>226</v>
      </c>
      <c r="G576" s="7"/>
      <c r="H576" s="5" t="str">
        <f aca="false">IF($G576="","",IF(LOWER(TRIM($G576))=LOWER(TRIM($F576)),"Match","Mismatch"))</f>
        <v/>
      </c>
      <c r="I576" s="5" t="str">
        <f aca="false">IF($G576="","",IF(LOWER(TRIM($G576))=LOWER(TRIM($E576)),"Match","Mismatch"))</f>
        <v/>
      </c>
      <c r="J576" s="6"/>
    </row>
    <row r="577" customFormat="false" ht="15" hidden="false" customHeight="false" outlineLevel="0" collapsed="false">
      <c r="A577" s="5" t="s">
        <v>25</v>
      </c>
      <c r="B577" s="5" t="s">
        <v>359</v>
      </c>
      <c r="C577" s="5" t="s">
        <v>70</v>
      </c>
      <c r="D577" s="6" t="s">
        <v>80</v>
      </c>
      <c r="E577" s="5"/>
      <c r="F577" s="5" t="s">
        <v>370</v>
      </c>
      <c r="G577" s="7"/>
      <c r="H577" s="5" t="str">
        <f aca="false">IF($G577="","",IF(LOWER(TRIM($G577))=LOWER(TRIM($F577)),"Match","Mismatch"))</f>
        <v/>
      </c>
      <c r="I577" s="5" t="str">
        <f aca="false">IF($G577="","",IF(LOWER(TRIM($G577))=LOWER(TRIM($E577)),"Match","Mismatch"))</f>
        <v/>
      </c>
      <c r="J577" s="6"/>
    </row>
    <row r="578" customFormat="false" ht="15" hidden="false" customHeight="false" outlineLevel="0" collapsed="false">
      <c r="A578" s="5" t="s">
        <v>25</v>
      </c>
      <c r="B578" s="5" t="s">
        <v>359</v>
      </c>
      <c r="C578" s="5" t="s">
        <v>70</v>
      </c>
      <c r="D578" s="6" t="s">
        <v>82</v>
      </c>
      <c r="E578" s="5" t="s">
        <v>366</v>
      </c>
      <c r="F578" s="5" t="s">
        <v>371</v>
      </c>
      <c r="G578" s="7"/>
      <c r="H578" s="5" t="str">
        <f aca="false">IF($G578="","",IF(LOWER(TRIM($G578))=LOWER(TRIM($F578)),"Match","Mismatch"))</f>
        <v/>
      </c>
      <c r="I578" s="5" t="str">
        <f aca="false">IF($G578="","",IF(LOWER(TRIM($G578))=LOWER(TRIM($E578)),"Match","Mismatch"))</f>
        <v/>
      </c>
      <c r="J578" s="6"/>
    </row>
    <row r="579" customFormat="false" ht="15" hidden="false" customHeight="false" outlineLevel="0" collapsed="false">
      <c r="A579" s="5" t="s">
        <v>25</v>
      </c>
      <c r="B579" s="5" t="s">
        <v>359</v>
      </c>
      <c r="C579" s="5" t="s">
        <v>70</v>
      </c>
      <c r="D579" s="6" t="s">
        <v>84</v>
      </c>
      <c r="E579" s="5" t="s">
        <v>366</v>
      </c>
      <c r="F579" s="5" t="s">
        <v>101</v>
      </c>
      <c r="G579" s="7"/>
      <c r="H579" s="5" t="str">
        <f aca="false">IF($G579="","",IF(LOWER(TRIM($G579))=LOWER(TRIM($F579)),"Match","Mismatch"))</f>
        <v/>
      </c>
      <c r="I579" s="5" t="str">
        <f aca="false">IF($G579="","",IF(LOWER(TRIM($G579))=LOWER(TRIM($E579)),"Match","Mismatch"))</f>
        <v/>
      </c>
      <c r="J579" s="6"/>
    </row>
    <row r="580" customFormat="false" ht="15" hidden="false" customHeight="false" outlineLevel="0" collapsed="false">
      <c r="A580" s="5" t="s">
        <v>25</v>
      </c>
      <c r="B580" s="5" t="s">
        <v>359</v>
      </c>
      <c r="C580" s="5" t="s">
        <v>70</v>
      </c>
      <c r="D580" s="6" t="s">
        <v>86</v>
      </c>
      <c r="E580" s="5" t="s">
        <v>366</v>
      </c>
      <c r="F580" s="5" t="s">
        <v>372</v>
      </c>
      <c r="G580" s="7"/>
      <c r="H580" s="5" t="str">
        <f aca="false">IF($G580="","",IF(LOWER(TRIM($G580))=LOWER(TRIM($F580)),"Match","Mismatch"))</f>
        <v/>
      </c>
      <c r="I580" s="5" t="str">
        <f aca="false">IF($G580="","",IF(LOWER(TRIM($G580))=LOWER(TRIM($E580)),"Match","Mismatch"))</f>
        <v/>
      </c>
      <c r="J580" s="6"/>
    </row>
    <row r="581" customFormat="false" ht="23.85" hidden="false" customHeight="false" outlineLevel="0" collapsed="false">
      <c r="A581" s="5" t="s">
        <v>25</v>
      </c>
      <c r="B581" s="5" t="s">
        <v>373</v>
      </c>
      <c r="C581" s="5" t="s">
        <v>27</v>
      </c>
      <c r="D581" s="6" t="s">
        <v>28</v>
      </c>
      <c r="E581" s="5"/>
      <c r="F581" s="5" t="s">
        <v>29</v>
      </c>
      <c r="G581" s="7"/>
      <c r="H581" s="5" t="str">
        <f aca="false">IF($G581="","",IF(LOWER(TRIM($G581))=LOWER(TRIM($F581)),"Match","Mismatch"))</f>
        <v/>
      </c>
      <c r="I581" s="5" t="str">
        <f aca="false">IF($G581="","",IF(LOWER(TRIM($G581))=LOWER(TRIM($E581)),"Match","Mismatch"))</f>
        <v/>
      </c>
      <c r="J581" s="6"/>
    </row>
    <row r="582" customFormat="false" ht="23.85" hidden="false" customHeight="false" outlineLevel="0" collapsed="false">
      <c r="A582" s="5" t="s">
        <v>25</v>
      </c>
      <c r="B582" s="5" t="s">
        <v>373</v>
      </c>
      <c r="C582" s="5" t="s">
        <v>27</v>
      </c>
      <c r="D582" s="6" t="s">
        <v>30</v>
      </c>
      <c r="E582" s="5"/>
      <c r="F582" s="5" t="s">
        <v>31</v>
      </c>
      <c r="G582" s="7"/>
      <c r="H582" s="5" t="str">
        <f aca="false">IF($G582="","",IF(LOWER(TRIM($G582))=LOWER(TRIM($F582)),"Match","Mismatch"))</f>
        <v/>
      </c>
      <c r="I582" s="5" t="str">
        <f aca="false">IF($G582="","",IF(LOWER(TRIM($G582))=LOWER(TRIM($E582)),"Match","Mismatch"))</f>
        <v/>
      </c>
      <c r="J582" s="6"/>
    </row>
    <row r="583" customFormat="false" ht="35.05" hidden="false" customHeight="false" outlineLevel="0" collapsed="false">
      <c r="A583" s="5" t="s">
        <v>25</v>
      </c>
      <c r="B583" s="5" t="s">
        <v>373</v>
      </c>
      <c r="C583" s="5" t="s">
        <v>27</v>
      </c>
      <c r="D583" s="6" t="s">
        <v>32</v>
      </c>
      <c r="E583" s="5"/>
      <c r="F583" s="5" t="s">
        <v>31</v>
      </c>
      <c r="G583" s="7"/>
      <c r="H583" s="5" t="str">
        <f aca="false">IF($G583="","",IF(LOWER(TRIM($G583))=LOWER(TRIM($F583)),"Match","Mismatch"))</f>
        <v/>
      </c>
      <c r="I583" s="5" t="str">
        <f aca="false">IF($G583="","",IF(LOWER(TRIM($G583))=LOWER(TRIM($E583)),"Match","Mismatch"))</f>
        <v/>
      </c>
      <c r="J583" s="6"/>
    </row>
    <row r="584" customFormat="false" ht="35.05" hidden="false" customHeight="false" outlineLevel="0" collapsed="false">
      <c r="A584" s="5" t="s">
        <v>25</v>
      </c>
      <c r="B584" s="5" t="s">
        <v>373</v>
      </c>
      <c r="C584" s="5" t="s">
        <v>27</v>
      </c>
      <c r="D584" s="6" t="s">
        <v>33</v>
      </c>
      <c r="E584" s="5"/>
      <c r="F584" s="5" t="s">
        <v>31</v>
      </c>
      <c r="G584" s="7"/>
      <c r="H584" s="5" t="str">
        <f aca="false">IF($G584="","",IF(LOWER(TRIM($G584))=LOWER(TRIM($F584)),"Match","Mismatch"))</f>
        <v/>
      </c>
      <c r="I584" s="5" t="str">
        <f aca="false">IF($G584="","",IF(LOWER(TRIM($G584))=LOWER(TRIM($E584)),"Match","Mismatch"))</f>
        <v/>
      </c>
      <c r="J584" s="6"/>
    </row>
    <row r="585" customFormat="false" ht="23.85" hidden="false" customHeight="false" outlineLevel="0" collapsed="false">
      <c r="A585" s="5" t="s">
        <v>25</v>
      </c>
      <c r="B585" s="5" t="s">
        <v>373</v>
      </c>
      <c r="C585" s="5" t="s">
        <v>27</v>
      </c>
      <c r="D585" s="6" t="s">
        <v>34</v>
      </c>
      <c r="E585" s="5"/>
      <c r="F585" s="5" t="s">
        <v>31</v>
      </c>
      <c r="G585" s="7"/>
      <c r="H585" s="5" t="str">
        <f aca="false">IF($G585="","",IF(LOWER(TRIM($G585))=LOWER(TRIM($F585)),"Match","Mismatch"))</f>
        <v/>
      </c>
      <c r="I585" s="5" t="str">
        <f aca="false">IF($G585="","",IF(LOWER(TRIM($G585))=LOWER(TRIM($E585)),"Match","Mismatch"))</f>
        <v/>
      </c>
      <c r="J585" s="6"/>
    </row>
    <row r="586" customFormat="false" ht="23.85" hidden="false" customHeight="false" outlineLevel="0" collapsed="false">
      <c r="A586" s="5" t="s">
        <v>25</v>
      </c>
      <c r="B586" s="5" t="s">
        <v>373</v>
      </c>
      <c r="C586" s="5" t="s">
        <v>27</v>
      </c>
      <c r="D586" s="6" t="s">
        <v>37</v>
      </c>
      <c r="E586" s="5"/>
      <c r="F586" s="5" t="s">
        <v>29</v>
      </c>
      <c r="G586" s="7"/>
      <c r="H586" s="5" t="str">
        <f aca="false">IF($G586="","",IF(LOWER(TRIM($G586))=LOWER(TRIM($F586)),"Match","Mismatch"))</f>
        <v/>
      </c>
      <c r="I586" s="5" t="str">
        <f aca="false">IF($G586="","",IF(LOWER(TRIM($G586))=LOWER(TRIM($E586)),"Match","Mismatch"))</f>
        <v/>
      </c>
      <c r="J586" s="6"/>
    </row>
    <row r="587" customFormat="false" ht="23.85" hidden="false" customHeight="false" outlineLevel="0" collapsed="false">
      <c r="A587" s="5" t="s">
        <v>25</v>
      </c>
      <c r="B587" s="5" t="s">
        <v>373</v>
      </c>
      <c r="C587" s="5" t="s">
        <v>27</v>
      </c>
      <c r="D587" s="6" t="s">
        <v>38</v>
      </c>
      <c r="E587" s="5"/>
      <c r="F587" s="5" t="s">
        <v>29</v>
      </c>
      <c r="G587" s="7"/>
      <c r="H587" s="5" t="str">
        <f aca="false">IF($G587="","",IF(LOWER(TRIM($G587))=LOWER(TRIM($F587)),"Match","Mismatch"))</f>
        <v/>
      </c>
      <c r="I587" s="5" t="str">
        <f aca="false">IF($G587="","",IF(LOWER(TRIM($G587))=LOWER(TRIM($E587)),"Match","Mismatch"))</f>
        <v/>
      </c>
      <c r="J587" s="6"/>
    </row>
    <row r="588" customFormat="false" ht="23.85" hidden="false" customHeight="false" outlineLevel="0" collapsed="false">
      <c r="A588" s="5" t="s">
        <v>25</v>
      </c>
      <c r="B588" s="5" t="s">
        <v>373</v>
      </c>
      <c r="C588" s="5" t="s">
        <v>39</v>
      </c>
      <c r="D588" s="6" t="s">
        <v>42</v>
      </c>
      <c r="E588" s="5"/>
      <c r="F588" s="5" t="s">
        <v>55</v>
      </c>
      <c r="G588" s="7"/>
      <c r="H588" s="5" t="str">
        <f aca="false">IF($G588="","",IF(LOWER(TRIM($G588))=LOWER(TRIM($F588)),"Match","Mismatch"))</f>
        <v/>
      </c>
      <c r="I588" s="5" t="str">
        <f aca="false">IF($G588="","",IF(LOWER(TRIM($G588))=LOWER(TRIM($E588)),"Match","Mismatch"))</f>
        <v/>
      </c>
      <c r="J588" s="6"/>
    </row>
    <row r="589" customFormat="false" ht="23.85" hidden="false" customHeight="false" outlineLevel="0" collapsed="false">
      <c r="A589" s="5" t="s">
        <v>25</v>
      </c>
      <c r="B589" s="5" t="s">
        <v>373</v>
      </c>
      <c r="C589" s="5" t="s">
        <v>39</v>
      </c>
      <c r="D589" s="6" t="s">
        <v>44</v>
      </c>
      <c r="E589" s="5"/>
      <c r="F589" s="5" t="s">
        <v>41</v>
      </c>
      <c r="G589" s="7"/>
      <c r="H589" s="5" t="str">
        <f aca="false">IF($G589="","",IF(LOWER(TRIM($G589))=LOWER(TRIM($F589)),"Match","Mismatch"))</f>
        <v/>
      </c>
      <c r="I589" s="5" t="str">
        <f aca="false">IF($G589="","",IF(LOWER(TRIM($G589))=LOWER(TRIM($E589)),"Match","Mismatch"))</f>
        <v/>
      </c>
      <c r="J589" s="6"/>
    </row>
    <row r="590" customFormat="false" ht="15" hidden="false" customHeight="false" outlineLevel="0" collapsed="false">
      <c r="A590" s="5" t="s">
        <v>25</v>
      </c>
      <c r="B590" s="5" t="s">
        <v>373</v>
      </c>
      <c r="C590" s="5" t="s">
        <v>39</v>
      </c>
      <c r="D590" s="6" t="s">
        <v>47</v>
      </c>
      <c r="E590" s="5"/>
      <c r="F590" s="5" t="s">
        <v>43</v>
      </c>
      <c r="G590" s="7"/>
      <c r="H590" s="5" t="str">
        <f aca="false">IF($G590="","",IF(LOWER(TRIM($G590))=LOWER(TRIM($F590)),"Match","Mismatch"))</f>
        <v/>
      </c>
      <c r="I590" s="5" t="str">
        <f aca="false">IF($G590="","",IF(LOWER(TRIM($G590))=LOWER(TRIM($E590)),"Match","Mismatch"))</f>
        <v/>
      </c>
      <c r="J590" s="6"/>
    </row>
    <row r="591" customFormat="false" ht="23.85" hidden="false" customHeight="false" outlineLevel="0" collapsed="false">
      <c r="A591" s="5" t="s">
        <v>25</v>
      </c>
      <c r="B591" s="5" t="s">
        <v>373</v>
      </c>
      <c r="C591" s="5" t="s">
        <v>39</v>
      </c>
      <c r="D591" s="6" t="s">
        <v>56</v>
      </c>
      <c r="E591" s="5"/>
      <c r="F591" s="5" t="s">
        <v>41</v>
      </c>
      <c r="G591" s="7"/>
      <c r="H591" s="5" t="str">
        <f aca="false">IF($G591="","",IF(LOWER(TRIM($G591))=LOWER(TRIM($F591)),"Match","Mismatch"))</f>
        <v/>
      </c>
      <c r="I591" s="5" t="str">
        <f aca="false">IF($G591="","",IF(LOWER(TRIM($G591))=LOWER(TRIM($E591)),"Match","Mismatch"))</f>
        <v/>
      </c>
      <c r="J591" s="6"/>
    </row>
    <row r="592" customFormat="false" ht="15" hidden="false" customHeight="false" outlineLevel="0" collapsed="false">
      <c r="A592" s="5" t="s">
        <v>25</v>
      </c>
      <c r="B592" s="5" t="s">
        <v>373</v>
      </c>
      <c r="C592" s="5" t="s">
        <v>39</v>
      </c>
      <c r="D592" s="6" t="s">
        <v>57</v>
      </c>
      <c r="E592" s="5"/>
      <c r="F592" s="5" t="s">
        <v>43</v>
      </c>
      <c r="G592" s="7"/>
      <c r="H592" s="5" t="str">
        <f aca="false">IF($G592="","",IF(LOWER(TRIM($G592))=LOWER(TRIM($F592)),"Match","Mismatch"))</f>
        <v/>
      </c>
      <c r="I592" s="5" t="str">
        <f aca="false">IF($G592="","",IF(LOWER(TRIM($G592))=LOWER(TRIM($E592)),"Match","Mismatch"))</f>
        <v/>
      </c>
      <c r="J592" s="6"/>
    </row>
    <row r="593" customFormat="false" ht="15" hidden="false" customHeight="false" outlineLevel="0" collapsed="false">
      <c r="A593" s="5" t="s">
        <v>25</v>
      </c>
      <c r="B593" s="5" t="s">
        <v>373</v>
      </c>
      <c r="C593" s="5" t="s">
        <v>59</v>
      </c>
      <c r="D593" s="6" t="s">
        <v>60</v>
      </c>
      <c r="E593" s="5"/>
      <c r="F593" s="5" t="s">
        <v>31</v>
      </c>
      <c r="G593" s="7"/>
      <c r="H593" s="5" t="str">
        <f aca="false">IF($G593="","",IF(LOWER(TRIM($G593))=LOWER(TRIM($F593)),"Match","Mismatch"))</f>
        <v/>
      </c>
      <c r="I593" s="5" t="str">
        <f aca="false">IF($G593="","",IF(LOWER(TRIM($G593))=LOWER(TRIM($E593)),"Match","Mismatch"))</f>
        <v/>
      </c>
      <c r="J593" s="6"/>
    </row>
    <row r="594" customFormat="false" ht="23.85" hidden="false" customHeight="false" outlineLevel="0" collapsed="false">
      <c r="A594" s="5" t="s">
        <v>25</v>
      </c>
      <c r="B594" s="5" t="s">
        <v>373</v>
      </c>
      <c r="C594" s="5" t="s">
        <v>59</v>
      </c>
      <c r="D594" s="6" t="s">
        <v>61</v>
      </c>
      <c r="E594" s="5"/>
      <c r="F594" s="5" t="s">
        <v>29</v>
      </c>
      <c r="G594" s="7"/>
      <c r="H594" s="5" t="str">
        <f aca="false">IF($G594="","",IF(LOWER(TRIM($G594))=LOWER(TRIM($F594)),"Match","Mismatch"))</f>
        <v/>
      </c>
      <c r="I594" s="5" t="str">
        <f aca="false">IF($G594="","",IF(LOWER(TRIM($G594))=LOWER(TRIM($E594)),"Match","Mismatch"))</f>
        <v/>
      </c>
      <c r="J594" s="6"/>
    </row>
    <row r="595" customFormat="false" ht="15" hidden="false" customHeight="false" outlineLevel="0" collapsed="false">
      <c r="A595" s="5" t="s">
        <v>25</v>
      </c>
      <c r="B595" s="5" t="s">
        <v>373</v>
      </c>
      <c r="C595" s="5" t="s">
        <v>59</v>
      </c>
      <c r="D595" s="6" t="s">
        <v>62</v>
      </c>
      <c r="E595" s="5"/>
      <c r="F595" s="5" t="s">
        <v>29</v>
      </c>
      <c r="G595" s="7"/>
      <c r="H595" s="5" t="str">
        <f aca="false">IF($G595="","",IF(LOWER(TRIM($G595))=LOWER(TRIM($F595)),"Match","Mismatch"))</f>
        <v/>
      </c>
      <c r="I595" s="5" t="str">
        <f aca="false">IF($G595="","",IF(LOWER(TRIM($G595))=LOWER(TRIM($E595)),"Match","Mismatch"))</f>
        <v/>
      </c>
      <c r="J595" s="6"/>
    </row>
    <row r="596" customFormat="false" ht="15" hidden="false" customHeight="false" outlineLevel="0" collapsed="false">
      <c r="A596" s="5" t="s">
        <v>25</v>
      </c>
      <c r="B596" s="5" t="s">
        <v>373</v>
      </c>
      <c r="C596" s="5" t="s">
        <v>59</v>
      </c>
      <c r="D596" s="6" t="s">
        <v>63</v>
      </c>
      <c r="E596" s="5" t="s">
        <v>374</v>
      </c>
      <c r="F596" s="5"/>
      <c r="G596" s="7"/>
      <c r="H596" s="5" t="str">
        <f aca="false">IF($G596="","",IF(LOWER(TRIM($G596))=LOWER(TRIM($F596)),"Match","Mismatch"))</f>
        <v/>
      </c>
      <c r="I596" s="5" t="str">
        <f aca="false">IF($G596="","",IF(LOWER(TRIM($G596))=LOWER(TRIM($E596)),"Match","Mismatch"))</f>
        <v/>
      </c>
      <c r="J596" s="6"/>
    </row>
    <row r="597" customFormat="false" ht="23.85" hidden="false" customHeight="false" outlineLevel="0" collapsed="false">
      <c r="A597" s="5" t="s">
        <v>25</v>
      </c>
      <c r="B597" s="5" t="s">
        <v>373</v>
      </c>
      <c r="C597" s="5" t="s">
        <v>59</v>
      </c>
      <c r="D597" s="6" t="s">
        <v>65</v>
      </c>
      <c r="E597" s="5"/>
      <c r="F597" s="5" t="s">
        <v>29</v>
      </c>
      <c r="G597" s="7"/>
      <c r="H597" s="5" t="str">
        <f aca="false">IF($G597="","",IF(LOWER(TRIM($G597))=LOWER(TRIM($F597)),"Match","Mismatch"))</f>
        <v/>
      </c>
      <c r="I597" s="5" t="str">
        <f aca="false">IF($G597="","",IF(LOWER(TRIM($G597))=LOWER(TRIM($E597)),"Match","Mismatch"))</f>
        <v/>
      </c>
      <c r="J597" s="6"/>
    </row>
    <row r="598" customFormat="false" ht="23.85" hidden="false" customHeight="false" outlineLevel="0" collapsed="false">
      <c r="A598" s="5" t="s">
        <v>25</v>
      </c>
      <c r="B598" s="5" t="s">
        <v>373</v>
      </c>
      <c r="C598" s="5" t="s">
        <v>59</v>
      </c>
      <c r="D598" s="6" t="s">
        <v>66</v>
      </c>
      <c r="E598" s="5"/>
      <c r="F598" s="5" t="s">
        <v>29</v>
      </c>
      <c r="G598" s="7"/>
      <c r="H598" s="5" t="str">
        <f aca="false">IF($G598="","",IF(LOWER(TRIM($G598))=LOWER(TRIM($F598)),"Match","Mismatch"))</f>
        <v/>
      </c>
      <c r="I598" s="5" t="str">
        <f aca="false">IF($G598="","",IF(LOWER(TRIM($G598))=LOWER(TRIM($E598)),"Match","Mismatch"))</f>
        <v/>
      </c>
      <c r="J598" s="6"/>
    </row>
    <row r="599" customFormat="false" ht="15" hidden="false" customHeight="false" outlineLevel="0" collapsed="false">
      <c r="A599" s="5" t="s">
        <v>25</v>
      </c>
      <c r="B599" s="5" t="s">
        <v>373</v>
      </c>
      <c r="C599" s="5" t="s">
        <v>70</v>
      </c>
      <c r="D599" s="6" t="s">
        <v>71</v>
      </c>
      <c r="E599" s="5" t="s">
        <v>375</v>
      </c>
      <c r="F599" s="5" t="s">
        <v>376</v>
      </c>
      <c r="G599" s="7"/>
      <c r="H599" s="5" t="str">
        <f aca="false">IF($G599="","",IF(LOWER(TRIM($G599))=LOWER(TRIM($F599)),"Match","Mismatch"))</f>
        <v/>
      </c>
      <c r="I599" s="5" t="str">
        <f aca="false">IF($G599="","",IF(LOWER(TRIM($G599))=LOWER(TRIM($E599)),"Match","Mismatch"))</f>
        <v/>
      </c>
      <c r="J599" s="6"/>
    </row>
    <row r="600" customFormat="false" ht="15" hidden="false" customHeight="false" outlineLevel="0" collapsed="false">
      <c r="A600" s="5" t="s">
        <v>25</v>
      </c>
      <c r="B600" s="5" t="s">
        <v>373</v>
      </c>
      <c r="C600" s="5" t="s">
        <v>70</v>
      </c>
      <c r="D600" s="6" t="s">
        <v>73</v>
      </c>
      <c r="E600" s="5" t="s">
        <v>377</v>
      </c>
      <c r="F600" s="5" t="s">
        <v>378</v>
      </c>
      <c r="G600" s="7"/>
      <c r="H600" s="5" t="str">
        <f aca="false">IF($G600="","",IF(LOWER(TRIM($G600))=LOWER(TRIM($F600)),"Match","Mismatch"))</f>
        <v/>
      </c>
      <c r="I600" s="5" t="str">
        <f aca="false">IF($G600="","",IF(LOWER(TRIM($G600))=LOWER(TRIM($E600)),"Match","Mismatch"))</f>
        <v/>
      </c>
      <c r="J600" s="6"/>
    </row>
    <row r="601" customFormat="false" ht="15" hidden="false" customHeight="false" outlineLevel="0" collapsed="false">
      <c r="A601" s="5" t="s">
        <v>25</v>
      </c>
      <c r="B601" s="5" t="s">
        <v>373</v>
      </c>
      <c r="C601" s="5" t="s">
        <v>70</v>
      </c>
      <c r="D601" s="6" t="s">
        <v>80</v>
      </c>
      <c r="E601" s="5" t="s">
        <v>379</v>
      </c>
      <c r="F601" s="5"/>
      <c r="G601" s="7"/>
      <c r="H601" s="5" t="str">
        <f aca="false">IF($G601="","",IF(LOWER(TRIM($G601))=LOWER(TRIM($F601)),"Match","Mismatch"))</f>
        <v/>
      </c>
      <c r="I601" s="5" t="str">
        <f aca="false">IF($G601="","",IF(LOWER(TRIM($G601))=LOWER(TRIM($E601)),"Match","Mismatch"))</f>
        <v/>
      </c>
      <c r="J601" s="6"/>
    </row>
    <row r="602" customFormat="false" ht="15" hidden="false" customHeight="false" outlineLevel="0" collapsed="false">
      <c r="A602" s="5" t="s">
        <v>25</v>
      </c>
      <c r="B602" s="5" t="s">
        <v>373</v>
      </c>
      <c r="C602" s="5" t="s">
        <v>70</v>
      </c>
      <c r="D602" s="6" t="s">
        <v>84</v>
      </c>
      <c r="E602" s="5" t="s">
        <v>380</v>
      </c>
      <c r="F602" s="5" t="s">
        <v>381</v>
      </c>
      <c r="G602" s="7"/>
      <c r="H602" s="5" t="str">
        <f aca="false">IF($G602="","",IF(LOWER(TRIM($G602))=LOWER(TRIM($F602)),"Match","Mismatch"))</f>
        <v/>
      </c>
      <c r="I602" s="5" t="str">
        <f aca="false">IF($G602="","",IF(LOWER(TRIM($G602))=LOWER(TRIM($E602)),"Match","Mismatch"))</f>
        <v/>
      </c>
      <c r="J602" s="6"/>
    </row>
    <row r="603" customFormat="false" ht="15" hidden="false" customHeight="false" outlineLevel="0" collapsed="false">
      <c r="A603" s="5" t="s">
        <v>382</v>
      </c>
      <c r="B603" s="5" t="s">
        <v>383</v>
      </c>
      <c r="C603" s="5" t="s">
        <v>27</v>
      </c>
      <c r="D603" s="6" t="s">
        <v>35</v>
      </c>
      <c r="E603" s="5" t="s">
        <v>384</v>
      </c>
      <c r="F603" s="5" t="s">
        <v>385</v>
      </c>
      <c r="G603" s="7"/>
      <c r="H603" s="5" t="str">
        <f aca="false">IF($G603="","",IF(LOWER(TRIM($G603))=LOWER(TRIM($F603)),"Match","Mismatch"))</f>
        <v/>
      </c>
      <c r="I603" s="5" t="str">
        <f aca="false">IF($G603="","",IF(LOWER(TRIM($G603))=LOWER(TRIM($E603)),"Match","Mismatch"))</f>
        <v/>
      </c>
      <c r="J603" s="6"/>
    </row>
    <row r="604" customFormat="false" ht="15" hidden="false" customHeight="false" outlineLevel="0" collapsed="false">
      <c r="A604" s="5" t="s">
        <v>382</v>
      </c>
      <c r="B604" s="5" t="s">
        <v>383</v>
      </c>
      <c r="C604" s="5" t="s">
        <v>39</v>
      </c>
      <c r="D604" s="6" t="s">
        <v>47</v>
      </c>
      <c r="E604" s="5" t="s">
        <v>41</v>
      </c>
      <c r="F604" s="5" t="s">
        <v>46</v>
      </c>
      <c r="G604" s="7"/>
      <c r="H604" s="5" t="str">
        <f aca="false">IF($G604="","",IF(LOWER(TRIM($G604))=LOWER(TRIM($F604)),"Match","Mismatch"))</f>
        <v/>
      </c>
      <c r="I604" s="5" t="str">
        <f aca="false">IF($G604="","",IF(LOWER(TRIM($G604))=LOWER(TRIM($E604)),"Match","Mismatch"))</f>
        <v/>
      </c>
      <c r="J604" s="6"/>
    </row>
    <row r="605" customFormat="false" ht="23.85" hidden="false" customHeight="false" outlineLevel="0" collapsed="false">
      <c r="A605" s="5" t="s">
        <v>382</v>
      </c>
      <c r="B605" s="5" t="s">
        <v>383</v>
      </c>
      <c r="C605" s="5" t="s">
        <v>39</v>
      </c>
      <c r="D605" s="6" t="s">
        <v>50</v>
      </c>
      <c r="E605" s="5" t="s">
        <v>41</v>
      </c>
      <c r="F605" s="5" t="s">
        <v>46</v>
      </c>
      <c r="G605" s="7"/>
      <c r="H605" s="5" t="str">
        <f aca="false">IF($G605="","",IF(LOWER(TRIM($G605))=LOWER(TRIM($F605)),"Match","Mismatch"))</f>
        <v/>
      </c>
      <c r="I605" s="5" t="str">
        <f aca="false">IF($G605="","",IF(LOWER(TRIM($G605))=LOWER(TRIM($E605)),"Match","Mismatch"))</f>
        <v/>
      </c>
      <c r="J605" s="6"/>
    </row>
    <row r="606" customFormat="false" ht="15" hidden="false" customHeight="false" outlineLevel="0" collapsed="false">
      <c r="A606" s="5" t="s">
        <v>382</v>
      </c>
      <c r="B606" s="5" t="s">
        <v>383</v>
      </c>
      <c r="C606" s="5" t="s">
        <v>39</v>
      </c>
      <c r="D606" s="6" t="s">
        <v>57</v>
      </c>
      <c r="E606" s="5" t="s">
        <v>41</v>
      </c>
      <c r="F606" s="5" t="s">
        <v>46</v>
      </c>
      <c r="G606" s="7"/>
      <c r="H606" s="5" t="str">
        <f aca="false">IF($G606="","",IF(LOWER(TRIM($G606))=LOWER(TRIM($F606)),"Match","Mismatch"))</f>
        <v/>
      </c>
      <c r="I606" s="5" t="str">
        <f aca="false">IF($G606="","",IF(LOWER(TRIM($G606))=LOWER(TRIM($E606)),"Match","Mismatch"))</f>
        <v/>
      </c>
      <c r="J606" s="6"/>
    </row>
    <row r="607" customFormat="false" ht="15" hidden="false" customHeight="false" outlineLevel="0" collapsed="false">
      <c r="A607" s="5" t="s">
        <v>382</v>
      </c>
      <c r="B607" s="5" t="s">
        <v>383</v>
      </c>
      <c r="C607" s="5" t="s">
        <v>59</v>
      </c>
      <c r="D607" s="6" t="s">
        <v>60</v>
      </c>
      <c r="E607" s="5" t="s">
        <v>29</v>
      </c>
      <c r="F607" s="5" t="s">
        <v>31</v>
      </c>
      <c r="G607" s="7"/>
      <c r="H607" s="5" t="str">
        <f aca="false">IF($G607="","",IF(LOWER(TRIM($G607))=LOWER(TRIM($F607)),"Match","Mismatch"))</f>
        <v/>
      </c>
      <c r="I607" s="5" t="str">
        <f aca="false">IF($G607="","",IF(LOWER(TRIM($G607))=LOWER(TRIM($E607)),"Match","Mismatch"))</f>
        <v/>
      </c>
      <c r="J607" s="6"/>
    </row>
    <row r="608" customFormat="false" ht="23.85" hidden="false" customHeight="false" outlineLevel="0" collapsed="false">
      <c r="A608" s="5" t="s">
        <v>382</v>
      </c>
      <c r="B608" s="5" t="s">
        <v>383</v>
      </c>
      <c r="C608" s="5" t="s">
        <v>59</v>
      </c>
      <c r="D608" s="6" t="s">
        <v>61</v>
      </c>
      <c r="E608" s="5" t="s">
        <v>29</v>
      </c>
      <c r="F608" s="5" t="s">
        <v>31</v>
      </c>
      <c r="G608" s="7"/>
      <c r="H608" s="5" t="str">
        <f aca="false">IF($G608="","",IF(LOWER(TRIM($G608))=LOWER(TRIM($F608)),"Match","Mismatch"))</f>
        <v/>
      </c>
      <c r="I608" s="5" t="str">
        <f aca="false">IF($G608="","",IF(LOWER(TRIM($G608))=LOWER(TRIM($E608)),"Match","Mismatch"))</f>
        <v/>
      </c>
      <c r="J608" s="6"/>
    </row>
    <row r="609" customFormat="false" ht="15" hidden="false" customHeight="false" outlineLevel="0" collapsed="false">
      <c r="A609" s="5" t="s">
        <v>382</v>
      </c>
      <c r="B609" s="5" t="s">
        <v>383</v>
      </c>
      <c r="C609" s="5" t="s">
        <v>59</v>
      </c>
      <c r="D609" s="6" t="s">
        <v>62</v>
      </c>
      <c r="E609" s="5" t="s">
        <v>29</v>
      </c>
      <c r="F609" s="5" t="s">
        <v>31</v>
      </c>
      <c r="G609" s="7"/>
      <c r="H609" s="5" t="str">
        <f aca="false">IF($G609="","",IF(LOWER(TRIM($G609))=LOWER(TRIM($F609)),"Match","Mismatch"))</f>
        <v/>
      </c>
      <c r="I609" s="5" t="str">
        <f aca="false">IF($G609="","",IF(LOWER(TRIM($G609))=LOWER(TRIM($E609)),"Match","Mismatch"))</f>
        <v/>
      </c>
      <c r="J609" s="6"/>
    </row>
    <row r="610" customFormat="false" ht="15" hidden="false" customHeight="false" outlineLevel="0" collapsed="false">
      <c r="A610" s="5" t="s">
        <v>382</v>
      </c>
      <c r="B610" s="5" t="s">
        <v>383</v>
      </c>
      <c r="C610" s="5" t="s">
        <v>59</v>
      </c>
      <c r="D610" s="6" t="s">
        <v>63</v>
      </c>
      <c r="E610" s="5" t="s">
        <v>386</v>
      </c>
      <c r="F610" s="5" t="s">
        <v>283</v>
      </c>
      <c r="G610" s="7"/>
      <c r="H610" s="5" t="str">
        <f aca="false">IF($G610="","",IF(LOWER(TRIM($G610))=LOWER(TRIM($F610)),"Match","Mismatch"))</f>
        <v/>
      </c>
      <c r="I610" s="5" t="str">
        <f aca="false">IF($G610="","",IF(LOWER(TRIM($G610))=LOWER(TRIM($E610)),"Match","Mismatch"))</f>
        <v/>
      </c>
      <c r="J610" s="6"/>
    </row>
    <row r="611" customFormat="false" ht="23.85" hidden="false" customHeight="false" outlineLevel="0" collapsed="false">
      <c r="A611" s="5" t="s">
        <v>382</v>
      </c>
      <c r="B611" s="5" t="s">
        <v>383</v>
      </c>
      <c r="C611" s="5" t="s">
        <v>59</v>
      </c>
      <c r="D611" s="6" t="s">
        <v>66</v>
      </c>
      <c r="E611" s="5" t="s">
        <v>29</v>
      </c>
      <c r="F611" s="5" t="s">
        <v>31</v>
      </c>
      <c r="G611" s="7"/>
      <c r="H611" s="5" t="str">
        <f aca="false">IF($G611="","",IF(LOWER(TRIM($G611))=LOWER(TRIM($F611)),"Match","Mismatch"))</f>
        <v/>
      </c>
      <c r="I611" s="5" t="str">
        <f aca="false">IF($G611="","",IF(LOWER(TRIM($G611))=LOWER(TRIM($E611)),"Match","Mismatch"))</f>
        <v/>
      </c>
      <c r="J611" s="6"/>
    </row>
    <row r="612" customFormat="false" ht="15" hidden="false" customHeight="false" outlineLevel="0" collapsed="false">
      <c r="A612" s="5" t="s">
        <v>382</v>
      </c>
      <c r="B612" s="5" t="s">
        <v>383</v>
      </c>
      <c r="C612" s="5" t="s">
        <v>67</v>
      </c>
      <c r="D612" s="6" t="s">
        <v>68</v>
      </c>
      <c r="E612" s="5" t="s">
        <v>387</v>
      </c>
      <c r="F612" s="5" t="s">
        <v>388</v>
      </c>
      <c r="G612" s="7"/>
      <c r="H612" s="5" t="str">
        <f aca="false">IF($G612="","",IF(LOWER(TRIM($G612))=LOWER(TRIM($F612)),"Match","Mismatch"))</f>
        <v/>
      </c>
      <c r="I612" s="5" t="str">
        <f aca="false">IF($G612="","",IF(LOWER(TRIM($G612))=LOWER(TRIM($E612)),"Match","Mismatch"))</f>
        <v/>
      </c>
      <c r="J612" s="6"/>
    </row>
    <row r="613" customFormat="false" ht="15" hidden="false" customHeight="false" outlineLevel="0" collapsed="false">
      <c r="A613" s="5" t="s">
        <v>382</v>
      </c>
      <c r="B613" s="5" t="s">
        <v>383</v>
      </c>
      <c r="C613" s="5" t="s">
        <v>70</v>
      </c>
      <c r="D613" s="6" t="s">
        <v>71</v>
      </c>
      <c r="E613" s="5" t="s">
        <v>389</v>
      </c>
      <c r="F613" s="5" t="s">
        <v>390</v>
      </c>
      <c r="G613" s="7"/>
      <c r="H613" s="5" t="str">
        <f aca="false">IF($G613="","",IF(LOWER(TRIM($G613))=LOWER(TRIM($F613)),"Match","Mismatch"))</f>
        <v/>
      </c>
      <c r="I613" s="5" t="str">
        <f aca="false">IF($G613="","",IF(LOWER(TRIM($G613))=LOWER(TRIM($E613)),"Match","Mismatch"))</f>
        <v/>
      </c>
      <c r="J613" s="6"/>
    </row>
    <row r="614" customFormat="false" ht="15" hidden="false" customHeight="false" outlineLevel="0" collapsed="false">
      <c r="A614" s="5" t="s">
        <v>382</v>
      </c>
      <c r="B614" s="5" t="s">
        <v>383</v>
      </c>
      <c r="C614" s="5" t="s">
        <v>70</v>
      </c>
      <c r="D614" s="6" t="s">
        <v>73</v>
      </c>
      <c r="E614" s="5" t="s">
        <v>389</v>
      </c>
      <c r="F614" s="5" t="s">
        <v>391</v>
      </c>
      <c r="G614" s="7"/>
      <c r="H614" s="5" t="str">
        <f aca="false">IF($G614="","",IF(LOWER(TRIM($G614))=LOWER(TRIM($F614)),"Match","Mismatch"))</f>
        <v/>
      </c>
      <c r="I614" s="5" t="str">
        <f aca="false">IF($G614="","",IF(LOWER(TRIM($G614))=LOWER(TRIM($E614)),"Match","Mismatch"))</f>
        <v/>
      </c>
      <c r="J614" s="6"/>
    </row>
    <row r="615" customFormat="false" ht="15" hidden="false" customHeight="false" outlineLevel="0" collapsed="false">
      <c r="A615" s="5" t="s">
        <v>382</v>
      </c>
      <c r="B615" s="5" t="s">
        <v>383</v>
      </c>
      <c r="C615" s="5" t="s">
        <v>70</v>
      </c>
      <c r="D615" s="6" t="s">
        <v>75</v>
      </c>
      <c r="E615" s="5" t="s">
        <v>389</v>
      </c>
      <c r="F615" s="5" t="s">
        <v>392</v>
      </c>
      <c r="G615" s="7"/>
      <c r="H615" s="5" t="str">
        <f aca="false">IF($G615="","",IF(LOWER(TRIM($G615))=LOWER(TRIM($F615)),"Match","Mismatch"))</f>
        <v/>
      </c>
      <c r="I615" s="5" t="str">
        <f aca="false">IF($G615="","",IF(LOWER(TRIM($G615))=LOWER(TRIM($E615)),"Match","Mismatch"))</f>
        <v/>
      </c>
      <c r="J615" s="6"/>
    </row>
    <row r="616" customFormat="false" ht="15" hidden="false" customHeight="false" outlineLevel="0" collapsed="false">
      <c r="A616" s="5" t="s">
        <v>382</v>
      </c>
      <c r="B616" s="5" t="s">
        <v>383</v>
      </c>
      <c r="C616" s="5" t="s">
        <v>70</v>
      </c>
      <c r="D616" s="6" t="s">
        <v>77</v>
      </c>
      <c r="E616" s="5" t="s">
        <v>389</v>
      </c>
      <c r="F616" s="5" t="s">
        <v>393</v>
      </c>
      <c r="G616" s="7"/>
      <c r="H616" s="5" t="str">
        <f aca="false">IF($G616="","",IF(LOWER(TRIM($G616))=LOWER(TRIM($F616)),"Match","Mismatch"))</f>
        <v/>
      </c>
      <c r="I616" s="5" t="str">
        <f aca="false">IF($G616="","",IF(LOWER(TRIM($G616))=LOWER(TRIM($E616)),"Match","Mismatch"))</f>
        <v/>
      </c>
      <c r="J616" s="6"/>
    </row>
    <row r="617" customFormat="false" ht="15" hidden="false" customHeight="false" outlineLevel="0" collapsed="false">
      <c r="A617" s="5" t="s">
        <v>382</v>
      </c>
      <c r="B617" s="5" t="s">
        <v>383</v>
      </c>
      <c r="C617" s="5" t="s">
        <v>70</v>
      </c>
      <c r="D617" s="6" t="s">
        <v>80</v>
      </c>
      <c r="E617" s="5" t="s">
        <v>394</v>
      </c>
      <c r="F617" s="5" t="s">
        <v>395</v>
      </c>
      <c r="G617" s="7"/>
      <c r="H617" s="5" t="str">
        <f aca="false">IF($G617="","",IF(LOWER(TRIM($G617))=LOWER(TRIM($F617)),"Match","Mismatch"))</f>
        <v/>
      </c>
      <c r="I617" s="5" t="str">
        <f aca="false">IF($G617="","",IF(LOWER(TRIM($G617))=LOWER(TRIM($E617)),"Match","Mismatch"))</f>
        <v/>
      </c>
      <c r="J617" s="6"/>
    </row>
    <row r="618" customFormat="false" ht="15" hidden="false" customHeight="false" outlineLevel="0" collapsed="false">
      <c r="A618" s="5" t="s">
        <v>382</v>
      </c>
      <c r="B618" s="5" t="s">
        <v>383</v>
      </c>
      <c r="C618" s="5" t="s">
        <v>70</v>
      </c>
      <c r="D618" s="6" t="s">
        <v>82</v>
      </c>
      <c r="E618" s="5" t="s">
        <v>389</v>
      </c>
      <c r="F618" s="5" t="s">
        <v>396</v>
      </c>
      <c r="G618" s="7"/>
      <c r="H618" s="5" t="str">
        <f aca="false">IF($G618="","",IF(LOWER(TRIM($G618))=LOWER(TRIM($F618)),"Match","Mismatch"))</f>
        <v/>
      </c>
      <c r="I618" s="5" t="str">
        <f aca="false">IF($G618="","",IF(LOWER(TRIM($G618))=LOWER(TRIM($E618)),"Match","Mismatch"))</f>
        <v/>
      </c>
      <c r="J618" s="6"/>
    </row>
    <row r="619" customFormat="false" ht="15" hidden="false" customHeight="false" outlineLevel="0" collapsed="false">
      <c r="A619" s="5" t="s">
        <v>382</v>
      </c>
      <c r="B619" s="5" t="s">
        <v>383</v>
      </c>
      <c r="C619" s="5" t="s">
        <v>70</v>
      </c>
      <c r="D619" s="6" t="s">
        <v>84</v>
      </c>
      <c r="E619" s="5" t="s">
        <v>389</v>
      </c>
      <c r="F619" s="5" t="s">
        <v>101</v>
      </c>
      <c r="G619" s="7"/>
      <c r="H619" s="5" t="str">
        <f aca="false">IF($G619="","",IF(LOWER(TRIM($G619))=LOWER(TRIM($F619)),"Match","Mismatch"))</f>
        <v/>
      </c>
      <c r="I619" s="5" t="str">
        <f aca="false">IF($G619="","",IF(LOWER(TRIM($G619))=LOWER(TRIM($E619)),"Match","Mismatch"))</f>
        <v/>
      </c>
      <c r="J619" s="6"/>
    </row>
    <row r="620" customFormat="false" ht="15" hidden="false" customHeight="false" outlineLevel="0" collapsed="false">
      <c r="A620" s="5" t="s">
        <v>382</v>
      </c>
      <c r="B620" s="5" t="s">
        <v>383</v>
      </c>
      <c r="C620" s="5" t="s">
        <v>70</v>
      </c>
      <c r="D620" s="6" t="s">
        <v>86</v>
      </c>
      <c r="E620" s="5" t="s">
        <v>389</v>
      </c>
      <c r="F620" s="5" t="s">
        <v>397</v>
      </c>
      <c r="G620" s="7"/>
      <c r="H620" s="5" t="str">
        <f aca="false">IF($G620="","",IF(LOWER(TRIM($G620))=LOWER(TRIM($F620)),"Match","Mismatch"))</f>
        <v/>
      </c>
      <c r="I620" s="5" t="str">
        <f aca="false">IF($G620="","",IF(LOWER(TRIM($G620))=LOWER(TRIM($E620)),"Match","Mismatch"))</f>
        <v/>
      </c>
      <c r="J620" s="6"/>
    </row>
    <row r="621" customFormat="false" ht="23.85" hidden="false" customHeight="false" outlineLevel="0" collapsed="false">
      <c r="A621" s="5" t="s">
        <v>382</v>
      </c>
      <c r="B621" s="5" t="s">
        <v>398</v>
      </c>
      <c r="C621" s="5" t="s">
        <v>27</v>
      </c>
      <c r="D621" s="6" t="s">
        <v>30</v>
      </c>
      <c r="E621" s="5"/>
      <c r="F621" s="5" t="s">
        <v>29</v>
      </c>
      <c r="G621" s="7"/>
      <c r="H621" s="5" t="str">
        <f aca="false">IF($G621="","",IF(LOWER(TRIM($G621))=LOWER(TRIM($F621)),"Match","Mismatch"))</f>
        <v/>
      </c>
      <c r="I621" s="5" t="str">
        <f aca="false">IF($G621="","",IF(LOWER(TRIM($G621))=LOWER(TRIM($E621)),"Match","Mismatch"))</f>
        <v/>
      </c>
      <c r="J621" s="6"/>
    </row>
    <row r="622" customFormat="false" ht="35.05" hidden="false" customHeight="false" outlineLevel="0" collapsed="false">
      <c r="A622" s="5" t="s">
        <v>382</v>
      </c>
      <c r="B622" s="5" t="s">
        <v>398</v>
      </c>
      <c r="C622" s="5" t="s">
        <v>27</v>
      </c>
      <c r="D622" s="6" t="s">
        <v>32</v>
      </c>
      <c r="E622" s="5"/>
      <c r="F622" s="5" t="s">
        <v>31</v>
      </c>
      <c r="G622" s="7"/>
      <c r="H622" s="5" t="str">
        <f aca="false">IF($G622="","",IF(LOWER(TRIM($G622))=LOWER(TRIM($F622)),"Match","Mismatch"))</f>
        <v/>
      </c>
      <c r="I622" s="5" t="str">
        <f aca="false">IF($G622="","",IF(LOWER(TRIM($G622))=LOWER(TRIM($E622)),"Match","Mismatch"))</f>
        <v/>
      </c>
      <c r="J622" s="6"/>
    </row>
    <row r="623" customFormat="false" ht="23.85" hidden="false" customHeight="false" outlineLevel="0" collapsed="false">
      <c r="A623" s="5" t="s">
        <v>382</v>
      </c>
      <c r="B623" s="5" t="s">
        <v>398</v>
      </c>
      <c r="C623" s="5" t="s">
        <v>27</v>
      </c>
      <c r="D623" s="6" t="s">
        <v>37</v>
      </c>
      <c r="E623" s="5"/>
      <c r="F623" s="5" t="s">
        <v>31</v>
      </c>
      <c r="G623" s="7"/>
      <c r="H623" s="5" t="str">
        <f aca="false">IF($G623="","",IF(LOWER(TRIM($G623))=LOWER(TRIM($F623)),"Match","Mismatch"))</f>
        <v/>
      </c>
      <c r="I623" s="5" t="str">
        <f aca="false">IF($G623="","",IF(LOWER(TRIM($G623))=LOWER(TRIM($E623)),"Match","Mismatch"))</f>
        <v/>
      </c>
      <c r="J623" s="6"/>
    </row>
    <row r="624" customFormat="false" ht="23.85" hidden="false" customHeight="false" outlineLevel="0" collapsed="false">
      <c r="A624" s="5" t="s">
        <v>382</v>
      </c>
      <c r="B624" s="5" t="s">
        <v>398</v>
      </c>
      <c r="C624" s="5" t="s">
        <v>27</v>
      </c>
      <c r="D624" s="6" t="s">
        <v>38</v>
      </c>
      <c r="E624" s="5"/>
      <c r="F624" s="5" t="s">
        <v>29</v>
      </c>
      <c r="G624" s="7"/>
      <c r="H624" s="5" t="str">
        <f aca="false">IF($G624="","",IF(LOWER(TRIM($G624))=LOWER(TRIM($F624)),"Match","Mismatch"))</f>
        <v/>
      </c>
      <c r="I624" s="5" t="str">
        <f aca="false">IF($G624="","",IF(LOWER(TRIM($G624))=LOWER(TRIM($E624)),"Match","Mismatch"))</f>
        <v/>
      </c>
      <c r="J624" s="6"/>
    </row>
    <row r="625" customFormat="false" ht="15" hidden="false" customHeight="false" outlineLevel="0" collapsed="false">
      <c r="A625" s="5" t="s">
        <v>382</v>
      </c>
      <c r="B625" s="5" t="s">
        <v>398</v>
      </c>
      <c r="C625" s="5" t="s">
        <v>39</v>
      </c>
      <c r="D625" s="6" t="s">
        <v>40</v>
      </c>
      <c r="E625" s="5"/>
      <c r="F625" s="5" t="s">
        <v>46</v>
      </c>
      <c r="G625" s="7"/>
      <c r="H625" s="5" t="str">
        <f aca="false">IF($G625="","",IF(LOWER(TRIM($G625))=LOWER(TRIM($F625)),"Match","Mismatch"))</f>
        <v/>
      </c>
      <c r="I625" s="5" t="str">
        <f aca="false">IF($G625="","",IF(LOWER(TRIM($G625))=LOWER(TRIM($E625)),"Match","Mismatch"))</f>
        <v/>
      </c>
      <c r="J625" s="6"/>
    </row>
    <row r="626" customFormat="false" ht="23.85" hidden="false" customHeight="false" outlineLevel="0" collapsed="false">
      <c r="A626" s="5" t="s">
        <v>382</v>
      </c>
      <c r="B626" s="5" t="s">
        <v>398</v>
      </c>
      <c r="C626" s="5" t="s">
        <v>39</v>
      </c>
      <c r="D626" s="6" t="s">
        <v>42</v>
      </c>
      <c r="E626" s="5"/>
      <c r="F626" s="5" t="s">
        <v>46</v>
      </c>
      <c r="G626" s="7"/>
      <c r="H626" s="5" t="str">
        <f aca="false">IF($G626="","",IF(LOWER(TRIM($G626))=LOWER(TRIM($F626)),"Match","Mismatch"))</f>
        <v/>
      </c>
      <c r="I626" s="5" t="str">
        <f aca="false">IF($G626="","",IF(LOWER(TRIM($G626))=LOWER(TRIM($E626)),"Match","Mismatch"))</f>
        <v/>
      </c>
      <c r="J626" s="6"/>
    </row>
    <row r="627" customFormat="false" ht="23.85" hidden="false" customHeight="false" outlineLevel="0" collapsed="false">
      <c r="A627" s="5" t="s">
        <v>382</v>
      </c>
      <c r="B627" s="5" t="s">
        <v>398</v>
      </c>
      <c r="C627" s="5" t="s">
        <v>39</v>
      </c>
      <c r="D627" s="6" t="s">
        <v>44</v>
      </c>
      <c r="E627" s="5"/>
      <c r="F627" s="5" t="s">
        <v>46</v>
      </c>
      <c r="G627" s="7"/>
      <c r="H627" s="5" t="str">
        <f aca="false">IF($G627="","",IF(LOWER(TRIM($G627))=LOWER(TRIM($F627)),"Match","Mismatch"))</f>
        <v/>
      </c>
      <c r="I627" s="5" t="str">
        <f aca="false">IF($G627="","",IF(LOWER(TRIM($G627))=LOWER(TRIM($E627)),"Match","Mismatch"))</f>
        <v/>
      </c>
      <c r="J627" s="6"/>
    </row>
    <row r="628" customFormat="false" ht="15" hidden="false" customHeight="false" outlineLevel="0" collapsed="false">
      <c r="A628" s="5" t="s">
        <v>382</v>
      </c>
      <c r="B628" s="5" t="s">
        <v>398</v>
      </c>
      <c r="C628" s="5" t="s">
        <v>39</v>
      </c>
      <c r="D628" s="6" t="s">
        <v>47</v>
      </c>
      <c r="E628" s="5"/>
      <c r="F628" s="5" t="s">
        <v>46</v>
      </c>
      <c r="G628" s="7"/>
      <c r="H628" s="5" t="str">
        <f aca="false">IF($G628="","",IF(LOWER(TRIM($G628))=LOWER(TRIM($F628)),"Match","Mismatch"))</f>
        <v/>
      </c>
      <c r="I628" s="5" t="str">
        <f aca="false">IF($G628="","",IF(LOWER(TRIM($G628))=LOWER(TRIM($E628)),"Match","Mismatch"))</f>
        <v/>
      </c>
      <c r="J628" s="6"/>
    </row>
    <row r="629" customFormat="false" ht="15" hidden="false" customHeight="false" outlineLevel="0" collapsed="false">
      <c r="A629" s="5" t="s">
        <v>382</v>
      </c>
      <c r="B629" s="5" t="s">
        <v>398</v>
      </c>
      <c r="C629" s="5" t="s">
        <v>39</v>
      </c>
      <c r="D629" s="6" t="s">
        <v>49</v>
      </c>
      <c r="E629" s="5"/>
      <c r="F629" s="5" t="s">
        <v>46</v>
      </c>
      <c r="G629" s="7"/>
      <c r="H629" s="5" t="str">
        <f aca="false">IF($G629="","",IF(LOWER(TRIM($G629))=LOWER(TRIM($F629)),"Match","Mismatch"))</f>
        <v/>
      </c>
      <c r="I629" s="5" t="str">
        <f aca="false">IF($G629="","",IF(LOWER(TRIM($G629))=LOWER(TRIM($E629)),"Match","Mismatch"))</f>
        <v/>
      </c>
      <c r="J629" s="6"/>
    </row>
    <row r="630" customFormat="false" ht="23.85" hidden="false" customHeight="false" outlineLevel="0" collapsed="false">
      <c r="A630" s="5" t="s">
        <v>382</v>
      </c>
      <c r="B630" s="5" t="s">
        <v>398</v>
      </c>
      <c r="C630" s="5" t="s">
        <v>39</v>
      </c>
      <c r="D630" s="6" t="s">
        <v>50</v>
      </c>
      <c r="E630" s="5" t="s">
        <v>41</v>
      </c>
      <c r="F630" s="5" t="s">
        <v>46</v>
      </c>
      <c r="G630" s="7"/>
      <c r="H630" s="5" t="str">
        <f aca="false">IF($G630="","",IF(LOWER(TRIM($G630))=LOWER(TRIM($F630)),"Match","Mismatch"))</f>
        <v/>
      </c>
      <c r="I630" s="5" t="str">
        <f aca="false">IF($G630="","",IF(LOWER(TRIM($G630))=LOWER(TRIM($E630)),"Match","Mismatch"))</f>
        <v/>
      </c>
      <c r="J630" s="6"/>
    </row>
    <row r="631" customFormat="false" ht="23.85" hidden="false" customHeight="false" outlineLevel="0" collapsed="false">
      <c r="A631" s="5" t="s">
        <v>382</v>
      </c>
      <c r="B631" s="5" t="s">
        <v>398</v>
      </c>
      <c r="C631" s="5" t="s">
        <v>39</v>
      </c>
      <c r="D631" s="6" t="s">
        <v>56</v>
      </c>
      <c r="E631" s="5"/>
      <c r="F631" s="5" t="s">
        <v>46</v>
      </c>
      <c r="G631" s="7"/>
      <c r="H631" s="5" t="str">
        <f aca="false">IF($G631="","",IF(LOWER(TRIM($G631))=LOWER(TRIM($F631)),"Match","Mismatch"))</f>
        <v/>
      </c>
      <c r="I631" s="5" t="str">
        <f aca="false">IF($G631="","",IF(LOWER(TRIM($G631))=LOWER(TRIM($E631)),"Match","Mismatch"))</f>
        <v/>
      </c>
      <c r="J631" s="6"/>
    </row>
    <row r="632" customFormat="false" ht="15" hidden="false" customHeight="false" outlineLevel="0" collapsed="false">
      <c r="A632" s="5" t="s">
        <v>382</v>
      </c>
      <c r="B632" s="5" t="s">
        <v>398</v>
      </c>
      <c r="C632" s="5" t="s">
        <v>39</v>
      </c>
      <c r="D632" s="6" t="s">
        <v>57</v>
      </c>
      <c r="E632" s="5"/>
      <c r="F632" s="5" t="s">
        <v>46</v>
      </c>
      <c r="G632" s="7"/>
      <c r="H632" s="5" t="str">
        <f aca="false">IF($G632="","",IF(LOWER(TRIM($G632))=LOWER(TRIM($F632)),"Match","Mismatch"))</f>
        <v/>
      </c>
      <c r="I632" s="5" t="str">
        <f aca="false">IF($G632="","",IF(LOWER(TRIM($G632))=LOWER(TRIM($E632)),"Match","Mismatch"))</f>
        <v/>
      </c>
      <c r="J632" s="6"/>
    </row>
    <row r="633" customFormat="false" ht="15" hidden="false" customHeight="false" outlineLevel="0" collapsed="false">
      <c r="A633" s="5" t="s">
        <v>382</v>
      </c>
      <c r="B633" s="5" t="s">
        <v>398</v>
      </c>
      <c r="C633" s="5" t="s">
        <v>59</v>
      </c>
      <c r="D633" s="6" t="s">
        <v>63</v>
      </c>
      <c r="E633" s="5" t="s">
        <v>399</v>
      </c>
      <c r="F633" s="5" t="s">
        <v>400</v>
      </c>
      <c r="G633" s="7"/>
      <c r="H633" s="5" t="str">
        <f aca="false">IF($G633="","",IF(LOWER(TRIM($G633))=LOWER(TRIM($F633)),"Match","Mismatch"))</f>
        <v/>
      </c>
      <c r="I633" s="5" t="str">
        <f aca="false">IF($G633="","",IF(LOWER(TRIM($G633))=LOWER(TRIM($E633)),"Match","Mismatch"))</f>
        <v/>
      </c>
      <c r="J633" s="6"/>
    </row>
    <row r="634" customFormat="false" ht="15" hidden="false" customHeight="false" outlineLevel="0" collapsed="false">
      <c r="A634" s="5" t="s">
        <v>382</v>
      </c>
      <c r="B634" s="5" t="s">
        <v>398</v>
      </c>
      <c r="C634" s="5" t="s">
        <v>70</v>
      </c>
      <c r="D634" s="6" t="s">
        <v>71</v>
      </c>
      <c r="E634" s="5" t="s">
        <v>401</v>
      </c>
      <c r="F634" s="5" t="s">
        <v>402</v>
      </c>
      <c r="G634" s="7"/>
      <c r="H634" s="5" t="str">
        <f aca="false">IF($G634="","",IF(LOWER(TRIM($G634))=LOWER(TRIM($F634)),"Match","Mismatch"))</f>
        <v/>
      </c>
      <c r="I634" s="5" t="str">
        <f aca="false">IF($G634="","",IF(LOWER(TRIM($G634))=LOWER(TRIM($E634)),"Match","Mismatch"))</f>
        <v/>
      </c>
      <c r="J634" s="6"/>
    </row>
    <row r="635" customFormat="false" ht="15" hidden="false" customHeight="false" outlineLevel="0" collapsed="false">
      <c r="A635" s="5" t="s">
        <v>382</v>
      </c>
      <c r="B635" s="5" t="s">
        <v>398</v>
      </c>
      <c r="C635" s="5" t="s">
        <v>70</v>
      </c>
      <c r="D635" s="6" t="s">
        <v>73</v>
      </c>
      <c r="E635" s="5" t="s">
        <v>403</v>
      </c>
      <c r="F635" s="5" t="s">
        <v>404</v>
      </c>
      <c r="G635" s="7"/>
      <c r="H635" s="5" t="str">
        <f aca="false">IF($G635="","",IF(LOWER(TRIM($G635))=LOWER(TRIM($F635)),"Match","Mismatch"))</f>
        <v/>
      </c>
      <c r="I635" s="5" t="str">
        <f aca="false">IF($G635="","",IF(LOWER(TRIM($G635))=LOWER(TRIM($E635)),"Match","Mismatch"))</f>
        <v/>
      </c>
      <c r="J635" s="6"/>
    </row>
    <row r="636" customFormat="false" ht="15" hidden="false" customHeight="false" outlineLevel="0" collapsed="false">
      <c r="A636" s="5" t="s">
        <v>382</v>
      </c>
      <c r="B636" s="5" t="s">
        <v>398</v>
      </c>
      <c r="C636" s="5" t="s">
        <v>70</v>
      </c>
      <c r="D636" s="6" t="s">
        <v>75</v>
      </c>
      <c r="E636" s="5" t="s">
        <v>405</v>
      </c>
      <c r="F636" s="5" t="s">
        <v>406</v>
      </c>
      <c r="G636" s="7"/>
      <c r="H636" s="5" t="str">
        <f aca="false">IF($G636="","",IF(LOWER(TRIM($G636))=LOWER(TRIM($F636)),"Match","Mismatch"))</f>
        <v/>
      </c>
      <c r="I636" s="5" t="str">
        <f aca="false">IF($G636="","",IF(LOWER(TRIM($G636))=LOWER(TRIM($E636)),"Match","Mismatch"))</f>
        <v/>
      </c>
      <c r="J636" s="6"/>
    </row>
    <row r="637" customFormat="false" ht="15" hidden="false" customHeight="false" outlineLevel="0" collapsed="false">
      <c r="A637" s="5" t="s">
        <v>382</v>
      </c>
      <c r="B637" s="5" t="s">
        <v>398</v>
      </c>
      <c r="C637" s="5" t="s">
        <v>70</v>
      </c>
      <c r="D637" s="6" t="s">
        <v>80</v>
      </c>
      <c r="E637" s="5" t="s">
        <v>407</v>
      </c>
      <c r="F637" s="5" t="s">
        <v>408</v>
      </c>
      <c r="G637" s="7"/>
      <c r="H637" s="5" t="str">
        <f aca="false">IF($G637="","",IF(LOWER(TRIM($G637))=LOWER(TRIM($F637)),"Match","Mismatch"))</f>
        <v/>
      </c>
      <c r="I637" s="5" t="str">
        <f aca="false">IF($G637="","",IF(LOWER(TRIM($G637))=LOWER(TRIM($E637)),"Match","Mismatch"))</f>
        <v/>
      </c>
      <c r="J637" s="6"/>
    </row>
    <row r="638" customFormat="false" ht="15" hidden="false" customHeight="false" outlineLevel="0" collapsed="false">
      <c r="A638" s="5" t="s">
        <v>382</v>
      </c>
      <c r="B638" s="5" t="s">
        <v>398</v>
      </c>
      <c r="C638" s="5" t="s">
        <v>70</v>
      </c>
      <c r="D638" s="6" t="s">
        <v>82</v>
      </c>
      <c r="E638" s="5" t="s">
        <v>409</v>
      </c>
      <c r="F638" s="5" t="s">
        <v>410</v>
      </c>
      <c r="G638" s="7"/>
      <c r="H638" s="5" t="str">
        <f aca="false">IF($G638="","",IF(LOWER(TRIM($G638))=LOWER(TRIM($F638)),"Match","Mismatch"))</f>
        <v/>
      </c>
      <c r="I638" s="5" t="str">
        <f aca="false">IF($G638="","",IF(LOWER(TRIM($G638))=LOWER(TRIM($E638)),"Match","Mismatch"))</f>
        <v/>
      </c>
      <c r="J638" s="6"/>
    </row>
    <row r="639" customFormat="false" ht="15" hidden="false" customHeight="false" outlineLevel="0" collapsed="false">
      <c r="A639" s="5" t="s">
        <v>382</v>
      </c>
      <c r="B639" s="5" t="s">
        <v>398</v>
      </c>
      <c r="C639" s="5" t="s">
        <v>70</v>
      </c>
      <c r="D639" s="6" t="s">
        <v>84</v>
      </c>
      <c r="E639" s="5" t="s">
        <v>411</v>
      </c>
      <c r="F639" s="5" t="s">
        <v>412</v>
      </c>
      <c r="G639" s="7"/>
      <c r="H639" s="5" t="str">
        <f aca="false">IF($G639="","",IF(LOWER(TRIM($G639))=LOWER(TRIM($F639)),"Match","Mismatch"))</f>
        <v/>
      </c>
      <c r="I639" s="5" t="str">
        <f aca="false">IF($G639="","",IF(LOWER(TRIM($G639))=LOWER(TRIM($E639)),"Match","Mismatch"))</f>
        <v/>
      </c>
      <c r="J639" s="6"/>
    </row>
    <row r="640" customFormat="false" ht="15" hidden="false" customHeight="false" outlineLevel="0" collapsed="false">
      <c r="A640" s="5" t="s">
        <v>382</v>
      </c>
      <c r="B640" s="5" t="s">
        <v>398</v>
      </c>
      <c r="C640" s="5" t="s">
        <v>70</v>
      </c>
      <c r="D640" s="6" t="s">
        <v>86</v>
      </c>
      <c r="E640" s="5" t="s">
        <v>413</v>
      </c>
      <c r="F640" s="5" t="s">
        <v>414</v>
      </c>
      <c r="G640" s="7"/>
      <c r="H640" s="5" t="str">
        <f aca="false">IF($G640="","",IF(LOWER(TRIM($G640))=LOWER(TRIM($F640)),"Match","Mismatch"))</f>
        <v/>
      </c>
      <c r="I640" s="5" t="str">
        <f aca="false">IF($G640="","",IF(LOWER(TRIM($G640))=LOWER(TRIM($E640)),"Match","Mismatch"))</f>
        <v/>
      </c>
      <c r="J640" s="6"/>
    </row>
    <row r="641" customFormat="false" ht="23.85" hidden="false" customHeight="false" outlineLevel="0" collapsed="false">
      <c r="A641" s="5" t="s">
        <v>382</v>
      </c>
      <c r="B641" s="5" t="s">
        <v>415</v>
      </c>
      <c r="C641" s="5" t="s">
        <v>27</v>
      </c>
      <c r="D641" s="6" t="s">
        <v>28</v>
      </c>
      <c r="E641" s="5"/>
      <c r="F641" s="5" t="s">
        <v>31</v>
      </c>
      <c r="G641" s="7"/>
      <c r="H641" s="5" t="str">
        <f aca="false">IF($G641="","",IF(LOWER(TRIM($G641))=LOWER(TRIM($F641)),"Match","Mismatch"))</f>
        <v/>
      </c>
      <c r="I641" s="5" t="str">
        <f aca="false">IF($G641="","",IF(LOWER(TRIM($G641))=LOWER(TRIM($E641)),"Match","Mismatch"))</f>
        <v/>
      </c>
      <c r="J641" s="6"/>
    </row>
    <row r="642" customFormat="false" ht="23.85" hidden="false" customHeight="false" outlineLevel="0" collapsed="false">
      <c r="A642" s="5" t="s">
        <v>382</v>
      </c>
      <c r="B642" s="5" t="s">
        <v>415</v>
      </c>
      <c r="C642" s="5" t="s">
        <v>27</v>
      </c>
      <c r="D642" s="6" t="s">
        <v>34</v>
      </c>
      <c r="E642" s="5"/>
      <c r="F642" s="5" t="s">
        <v>31</v>
      </c>
      <c r="G642" s="7"/>
      <c r="H642" s="5" t="str">
        <f aca="false">IF($G642="","",IF(LOWER(TRIM($G642))=LOWER(TRIM($F642)),"Match","Mismatch"))</f>
        <v/>
      </c>
      <c r="I642" s="5" t="str">
        <f aca="false">IF($G642="","",IF(LOWER(TRIM($G642))=LOWER(TRIM($E642)),"Match","Mismatch"))</f>
        <v/>
      </c>
      <c r="J642" s="6"/>
    </row>
    <row r="643" customFormat="false" ht="15" hidden="false" customHeight="false" outlineLevel="0" collapsed="false">
      <c r="A643" s="5" t="s">
        <v>382</v>
      </c>
      <c r="B643" s="5" t="s">
        <v>415</v>
      </c>
      <c r="C643" s="5" t="s">
        <v>27</v>
      </c>
      <c r="D643" s="6" t="s">
        <v>35</v>
      </c>
      <c r="E643" s="5" t="s">
        <v>416</v>
      </c>
      <c r="F643" s="5" t="s">
        <v>417</v>
      </c>
      <c r="G643" s="7"/>
      <c r="H643" s="5" t="str">
        <f aca="false">IF($G643="","",IF(LOWER(TRIM($G643))=LOWER(TRIM($F643)),"Match","Mismatch"))</f>
        <v/>
      </c>
      <c r="I643" s="5" t="str">
        <f aca="false">IF($G643="","",IF(LOWER(TRIM($G643))=LOWER(TRIM($E643)),"Match","Mismatch"))</f>
        <v/>
      </c>
      <c r="J643" s="6"/>
    </row>
    <row r="644" customFormat="false" ht="23.85" hidden="false" customHeight="false" outlineLevel="0" collapsed="false">
      <c r="A644" s="5" t="s">
        <v>382</v>
      </c>
      <c r="B644" s="5" t="s">
        <v>415</v>
      </c>
      <c r="C644" s="5" t="s">
        <v>27</v>
      </c>
      <c r="D644" s="6" t="s">
        <v>37</v>
      </c>
      <c r="E644" s="5"/>
      <c r="F644" s="5" t="s">
        <v>31</v>
      </c>
      <c r="G644" s="7"/>
      <c r="H644" s="5" t="str">
        <f aca="false">IF($G644="","",IF(LOWER(TRIM($G644))=LOWER(TRIM($F644)),"Match","Mismatch"))</f>
        <v/>
      </c>
      <c r="I644" s="5" t="str">
        <f aca="false">IF($G644="","",IF(LOWER(TRIM($G644))=LOWER(TRIM($E644)),"Match","Mismatch"))</f>
        <v/>
      </c>
      <c r="J644" s="6"/>
    </row>
    <row r="645" customFormat="false" ht="15" hidden="false" customHeight="false" outlineLevel="0" collapsed="false">
      <c r="A645" s="5" t="s">
        <v>382</v>
      </c>
      <c r="B645" s="5" t="s">
        <v>415</v>
      </c>
      <c r="C645" s="5" t="s">
        <v>39</v>
      </c>
      <c r="D645" s="6" t="s">
        <v>47</v>
      </c>
      <c r="E645" s="5"/>
      <c r="F645" s="5" t="s">
        <v>43</v>
      </c>
      <c r="G645" s="7"/>
      <c r="H645" s="5" t="str">
        <f aca="false">IF($G645="","",IF(LOWER(TRIM($G645))=LOWER(TRIM($F645)),"Match","Mismatch"))</f>
        <v/>
      </c>
      <c r="I645" s="5" t="str">
        <f aca="false">IF($G645="","",IF(LOWER(TRIM($G645))=LOWER(TRIM($E645)),"Match","Mismatch"))</f>
        <v/>
      </c>
      <c r="J645" s="6"/>
    </row>
    <row r="646" customFormat="false" ht="23.85" hidden="false" customHeight="false" outlineLevel="0" collapsed="false">
      <c r="A646" s="5" t="s">
        <v>382</v>
      </c>
      <c r="B646" s="5" t="s">
        <v>415</v>
      </c>
      <c r="C646" s="5" t="s">
        <v>39</v>
      </c>
      <c r="D646" s="6" t="s">
        <v>50</v>
      </c>
      <c r="E646" s="5"/>
      <c r="F646" s="5" t="s">
        <v>43</v>
      </c>
      <c r="G646" s="7"/>
      <c r="H646" s="5" t="str">
        <f aca="false">IF($G646="","",IF(LOWER(TRIM($G646))=LOWER(TRIM($F646)),"Match","Mismatch"))</f>
        <v/>
      </c>
      <c r="I646" s="5" t="str">
        <f aca="false">IF($G646="","",IF(LOWER(TRIM($G646))=LOWER(TRIM($E646)),"Match","Mismatch"))</f>
        <v/>
      </c>
      <c r="J646" s="6"/>
    </row>
    <row r="647" customFormat="false" ht="15" hidden="false" customHeight="false" outlineLevel="0" collapsed="false">
      <c r="A647" s="5" t="s">
        <v>382</v>
      </c>
      <c r="B647" s="5" t="s">
        <v>415</v>
      </c>
      <c r="C647" s="5" t="s">
        <v>39</v>
      </c>
      <c r="D647" s="6" t="s">
        <v>52</v>
      </c>
      <c r="E647" s="5"/>
      <c r="F647" s="5" t="s">
        <v>41</v>
      </c>
      <c r="G647" s="7"/>
      <c r="H647" s="5" t="str">
        <f aca="false">IF($G647="","",IF(LOWER(TRIM($G647))=LOWER(TRIM($F647)),"Match","Mismatch"))</f>
        <v/>
      </c>
      <c r="I647" s="5" t="str">
        <f aca="false">IF($G647="","",IF(LOWER(TRIM($G647))=LOWER(TRIM($E647)),"Match","Mismatch"))</f>
        <v/>
      </c>
      <c r="J647" s="6"/>
    </row>
    <row r="648" customFormat="false" ht="15" hidden="false" customHeight="false" outlineLevel="0" collapsed="false">
      <c r="A648" s="5" t="s">
        <v>382</v>
      </c>
      <c r="B648" s="5" t="s">
        <v>415</v>
      </c>
      <c r="C648" s="5" t="s">
        <v>59</v>
      </c>
      <c r="D648" s="6" t="s">
        <v>60</v>
      </c>
      <c r="E648" s="5"/>
      <c r="F648" s="5" t="s">
        <v>29</v>
      </c>
      <c r="G648" s="7"/>
      <c r="H648" s="5" t="str">
        <f aca="false">IF($G648="","",IF(LOWER(TRIM($G648))=LOWER(TRIM($F648)),"Match","Mismatch"))</f>
        <v/>
      </c>
      <c r="I648" s="5" t="str">
        <f aca="false">IF($G648="","",IF(LOWER(TRIM($G648))=LOWER(TRIM($E648)),"Match","Mismatch"))</f>
        <v/>
      </c>
      <c r="J648" s="6"/>
    </row>
    <row r="649" customFormat="false" ht="15" hidden="false" customHeight="false" outlineLevel="0" collapsed="false">
      <c r="A649" s="5" t="s">
        <v>382</v>
      </c>
      <c r="B649" s="5" t="s">
        <v>415</v>
      </c>
      <c r="C649" s="5" t="s">
        <v>70</v>
      </c>
      <c r="D649" s="6" t="s">
        <v>71</v>
      </c>
      <c r="E649" s="5" t="s">
        <v>418</v>
      </c>
      <c r="F649" s="5" t="s">
        <v>419</v>
      </c>
      <c r="G649" s="7"/>
      <c r="H649" s="5" t="str">
        <f aca="false">IF($G649="","",IF(LOWER(TRIM($G649))=LOWER(TRIM($F649)),"Match","Mismatch"))</f>
        <v/>
      </c>
      <c r="I649" s="5" t="str">
        <f aca="false">IF($G649="","",IF(LOWER(TRIM($G649))=LOWER(TRIM($E649)),"Match","Mismatch"))</f>
        <v/>
      </c>
      <c r="J649" s="6"/>
    </row>
    <row r="650" customFormat="false" ht="15" hidden="false" customHeight="false" outlineLevel="0" collapsed="false">
      <c r="A650" s="5" t="s">
        <v>382</v>
      </c>
      <c r="B650" s="5" t="s">
        <v>415</v>
      </c>
      <c r="C650" s="5" t="s">
        <v>70</v>
      </c>
      <c r="D650" s="6" t="s">
        <v>73</v>
      </c>
      <c r="E650" s="5" t="s">
        <v>420</v>
      </c>
      <c r="F650" s="5" t="s">
        <v>421</v>
      </c>
      <c r="G650" s="7"/>
      <c r="H650" s="5" t="str">
        <f aca="false">IF($G650="","",IF(LOWER(TRIM($G650))=LOWER(TRIM($F650)),"Match","Mismatch"))</f>
        <v/>
      </c>
      <c r="I650" s="5" t="str">
        <f aca="false">IF($G650="","",IF(LOWER(TRIM($G650))=LOWER(TRIM($E650)),"Match","Mismatch"))</f>
        <v/>
      </c>
      <c r="J650" s="6"/>
    </row>
    <row r="651" customFormat="false" ht="15" hidden="false" customHeight="false" outlineLevel="0" collapsed="false">
      <c r="A651" s="5" t="s">
        <v>382</v>
      </c>
      <c r="B651" s="5" t="s">
        <v>415</v>
      </c>
      <c r="C651" s="5" t="s">
        <v>70</v>
      </c>
      <c r="D651" s="6" t="s">
        <v>77</v>
      </c>
      <c r="E651" s="5" t="s">
        <v>422</v>
      </c>
      <c r="F651" s="5" t="s">
        <v>423</v>
      </c>
      <c r="G651" s="7"/>
      <c r="H651" s="5" t="str">
        <f aca="false">IF($G651="","",IF(LOWER(TRIM($G651))=LOWER(TRIM($F651)),"Match","Mismatch"))</f>
        <v/>
      </c>
      <c r="I651" s="5" t="str">
        <f aca="false">IF($G651="","",IF(LOWER(TRIM($G651))=LOWER(TRIM($E651)),"Match","Mismatch"))</f>
        <v/>
      </c>
      <c r="J651" s="6"/>
    </row>
    <row r="652" customFormat="false" ht="15" hidden="false" customHeight="false" outlineLevel="0" collapsed="false">
      <c r="A652" s="5" t="s">
        <v>382</v>
      </c>
      <c r="B652" s="5" t="s">
        <v>415</v>
      </c>
      <c r="C652" s="5" t="s">
        <v>70</v>
      </c>
      <c r="D652" s="6" t="s">
        <v>80</v>
      </c>
      <c r="E652" s="5"/>
      <c r="F652" s="5" t="s">
        <v>424</v>
      </c>
      <c r="G652" s="7"/>
      <c r="H652" s="5" t="str">
        <f aca="false">IF($G652="","",IF(LOWER(TRIM($G652))=LOWER(TRIM($F652)),"Match","Mismatch"))</f>
        <v/>
      </c>
      <c r="I652" s="5" t="str">
        <f aca="false">IF($G652="","",IF(LOWER(TRIM($G652))=LOWER(TRIM($E652)),"Match","Mismatch"))</f>
        <v/>
      </c>
      <c r="J652" s="6"/>
    </row>
    <row r="653" customFormat="false" ht="15" hidden="false" customHeight="false" outlineLevel="0" collapsed="false">
      <c r="A653" s="5" t="s">
        <v>382</v>
      </c>
      <c r="B653" s="5" t="s">
        <v>415</v>
      </c>
      <c r="C653" s="5" t="s">
        <v>70</v>
      </c>
      <c r="D653" s="6" t="s">
        <v>82</v>
      </c>
      <c r="E653" s="5" t="s">
        <v>425</v>
      </c>
      <c r="F653" s="5" t="s">
        <v>426</v>
      </c>
      <c r="G653" s="7"/>
      <c r="H653" s="5" t="str">
        <f aca="false">IF($G653="","",IF(LOWER(TRIM($G653))=LOWER(TRIM($F653)),"Match","Mismatch"))</f>
        <v/>
      </c>
      <c r="I653" s="5" t="str">
        <f aca="false">IF($G653="","",IF(LOWER(TRIM($G653))=LOWER(TRIM($E653)),"Match","Mismatch"))</f>
        <v/>
      </c>
      <c r="J653" s="6"/>
    </row>
    <row r="654" customFormat="false" ht="15" hidden="false" customHeight="false" outlineLevel="0" collapsed="false">
      <c r="A654" s="5" t="s">
        <v>382</v>
      </c>
      <c r="B654" s="5" t="s">
        <v>415</v>
      </c>
      <c r="C654" s="5" t="s">
        <v>70</v>
      </c>
      <c r="D654" s="6" t="s">
        <v>84</v>
      </c>
      <c r="E654" s="5" t="s">
        <v>427</v>
      </c>
      <c r="F654" s="5" t="s">
        <v>428</v>
      </c>
      <c r="G654" s="7"/>
      <c r="H654" s="5" t="str">
        <f aca="false">IF($G654="","",IF(LOWER(TRIM($G654))=LOWER(TRIM($F654)),"Match","Mismatch"))</f>
        <v/>
      </c>
      <c r="I654" s="5" t="str">
        <f aca="false">IF($G654="","",IF(LOWER(TRIM($G654))=LOWER(TRIM($E654)),"Match","Mismatch"))</f>
        <v/>
      </c>
      <c r="J654" s="6"/>
    </row>
    <row r="655" customFormat="false" ht="15" hidden="false" customHeight="false" outlineLevel="0" collapsed="false">
      <c r="A655" s="5" t="s">
        <v>382</v>
      </c>
      <c r="B655" s="5" t="s">
        <v>415</v>
      </c>
      <c r="C655" s="5" t="s">
        <v>70</v>
      </c>
      <c r="D655" s="6" t="s">
        <v>86</v>
      </c>
      <c r="E655" s="5" t="s">
        <v>429</v>
      </c>
      <c r="F655" s="5" t="s">
        <v>430</v>
      </c>
      <c r="G655" s="7"/>
      <c r="H655" s="5" t="str">
        <f aca="false">IF($G655="","",IF(LOWER(TRIM($G655))=LOWER(TRIM($F655)),"Match","Mismatch"))</f>
        <v/>
      </c>
      <c r="I655" s="5" t="str">
        <f aca="false">IF($G655="","",IF(LOWER(TRIM($G655))=LOWER(TRIM($E655)),"Match","Mismatch"))</f>
        <v/>
      </c>
      <c r="J655" s="6"/>
    </row>
    <row r="656" customFormat="false" ht="35.05" hidden="false" customHeight="false" outlineLevel="0" collapsed="false">
      <c r="A656" s="5" t="s">
        <v>382</v>
      </c>
      <c r="B656" s="5" t="s">
        <v>431</v>
      </c>
      <c r="C656" s="5" t="s">
        <v>27</v>
      </c>
      <c r="D656" s="6" t="s">
        <v>32</v>
      </c>
      <c r="E656" s="5"/>
      <c r="F656" s="5" t="s">
        <v>29</v>
      </c>
      <c r="G656" s="7"/>
      <c r="H656" s="5" t="str">
        <f aca="false">IF($G656="","",IF(LOWER(TRIM($G656))=LOWER(TRIM($F656)),"Match","Mismatch"))</f>
        <v/>
      </c>
      <c r="I656" s="5" t="str">
        <f aca="false">IF($G656="","",IF(LOWER(TRIM($G656))=LOWER(TRIM($E656)),"Match","Mismatch"))</f>
        <v/>
      </c>
      <c r="J656" s="6"/>
    </row>
    <row r="657" customFormat="false" ht="23.85" hidden="false" customHeight="false" outlineLevel="0" collapsed="false">
      <c r="A657" s="5" t="s">
        <v>382</v>
      </c>
      <c r="B657" s="5" t="s">
        <v>431</v>
      </c>
      <c r="C657" s="5" t="s">
        <v>27</v>
      </c>
      <c r="D657" s="6" t="s">
        <v>37</v>
      </c>
      <c r="E657" s="5"/>
      <c r="F657" s="5" t="s">
        <v>29</v>
      </c>
      <c r="G657" s="7"/>
      <c r="H657" s="5" t="str">
        <f aca="false">IF($G657="","",IF(LOWER(TRIM($G657))=LOWER(TRIM($F657)),"Match","Mismatch"))</f>
        <v/>
      </c>
      <c r="I657" s="5" t="str">
        <f aca="false">IF($G657="","",IF(LOWER(TRIM($G657))=LOWER(TRIM($E657)),"Match","Mismatch"))</f>
        <v/>
      </c>
      <c r="J657" s="6"/>
    </row>
    <row r="658" customFormat="false" ht="23.85" hidden="false" customHeight="false" outlineLevel="0" collapsed="false">
      <c r="A658" s="5" t="s">
        <v>382</v>
      </c>
      <c r="B658" s="5" t="s">
        <v>431</v>
      </c>
      <c r="C658" s="5" t="s">
        <v>39</v>
      </c>
      <c r="D658" s="6" t="s">
        <v>42</v>
      </c>
      <c r="E658" s="5" t="s">
        <v>190</v>
      </c>
      <c r="F658" s="5" t="s">
        <v>41</v>
      </c>
      <c r="G658" s="7"/>
      <c r="H658" s="5" t="str">
        <f aca="false">IF($G658="","",IF(LOWER(TRIM($G658))=LOWER(TRIM($F658)),"Match","Mismatch"))</f>
        <v/>
      </c>
      <c r="I658" s="5" t="str">
        <f aca="false">IF($G658="","",IF(LOWER(TRIM($G658))=LOWER(TRIM($E658)),"Match","Mismatch"))</f>
        <v/>
      </c>
      <c r="J658" s="6"/>
    </row>
    <row r="659" customFormat="false" ht="15" hidden="false" customHeight="false" outlineLevel="0" collapsed="false">
      <c r="A659" s="5" t="s">
        <v>382</v>
      </c>
      <c r="B659" s="5" t="s">
        <v>431</v>
      </c>
      <c r="C659" s="5" t="s">
        <v>39</v>
      </c>
      <c r="D659" s="6" t="s">
        <v>47</v>
      </c>
      <c r="E659" s="5" t="s">
        <v>41</v>
      </c>
      <c r="F659" s="5" t="s">
        <v>55</v>
      </c>
      <c r="G659" s="7"/>
      <c r="H659" s="5" t="str">
        <f aca="false">IF($G659="","",IF(LOWER(TRIM($G659))=LOWER(TRIM($F659)),"Match","Mismatch"))</f>
        <v/>
      </c>
      <c r="I659" s="5" t="str">
        <f aca="false">IF($G659="","",IF(LOWER(TRIM($G659))=LOWER(TRIM($E659)),"Match","Mismatch"))</f>
        <v/>
      </c>
      <c r="J659" s="6"/>
    </row>
    <row r="660" customFormat="false" ht="15" hidden="false" customHeight="false" outlineLevel="0" collapsed="false">
      <c r="A660" s="5" t="s">
        <v>382</v>
      </c>
      <c r="B660" s="5" t="s">
        <v>431</v>
      </c>
      <c r="C660" s="5" t="s">
        <v>39</v>
      </c>
      <c r="D660" s="6" t="s">
        <v>54</v>
      </c>
      <c r="E660" s="5" t="s">
        <v>46</v>
      </c>
      <c r="F660" s="5" t="s">
        <v>41</v>
      </c>
      <c r="G660" s="7"/>
      <c r="H660" s="5" t="str">
        <f aca="false">IF($G660="","",IF(LOWER(TRIM($G660))=LOWER(TRIM($F660)),"Match","Mismatch"))</f>
        <v/>
      </c>
      <c r="I660" s="5" t="str">
        <f aca="false">IF($G660="","",IF(LOWER(TRIM($G660))=LOWER(TRIM($E660)),"Match","Mismatch"))</f>
        <v/>
      </c>
      <c r="J660" s="6"/>
    </row>
    <row r="661" customFormat="false" ht="15" hidden="false" customHeight="false" outlineLevel="0" collapsed="false">
      <c r="A661" s="5" t="s">
        <v>382</v>
      </c>
      <c r="B661" s="5" t="s">
        <v>431</v>
      </c>
      <c r="C661" s="5" t="s">
        <v>39</v>
      </c>
      <c r="D661" s="6" t="s">
        <v>58</v>
      </c>
      <c r="E661" s="5" t="s">
        <v>41</v>
      </c>
      <c r="F661" s="5" t="s">
        <v>55</v>
      </c>
      <c r="G661" s="7"/>
      <c r="H661" s="5" t="str">
        <f aca="false">IF($G661="","",IF(LOWER(TRIM($G661))=LOWER(TRIM($F661)),"Match","Mismatch"))</f>
        <v/>
      </c>
      <c r="I661" s="5" t="str">
        <f aca="false">IF($G661="","",IF(LOWER(TRIM($G661))=LOWER(TRIM($E661)),"Match","Mismatch"))</f>
        <v/>
      </c>
      <c r="J661" s="6"/>
    </row>
    <row r="662" customFormat="false" ht="15" hidden="false" customHeight="false" outlineLevel="0" collapsed="false">
      <c r="A662" s="5" t="s">
        <v>382</v>
      </c>
      <c r="B662" s="5" t="s">
        <v>431</v>
      </c>
      <c r="C662" s="5" t="s">
        <v>59</v>
      </c>
      <c r="D662" s="6" t="s">
        <v>63</v>
      </c>
      <c r="E662" s="5" t="s">
        <v>432</v>
      </c>
      <c r="F662" s="5" t="s">
        <v>433</v>
      </c>
      <c r="G662" s="7"/>
      <c r="H662" s="5" t="str">
        <f aca="false">IF($G662="","",IF(LOWER(TRIM($G662))=LOWER(TRIM($F662)),"Match","Mismatch"))</f>
        <v/>
      </c>
      <c r="I662" s="5" t="str">
        <f aca="false">IF($G662="","",IF(LOWER(TRIM($G662))=LOWER(TRIM($E662)),"Match","Mismatch"))</f>
        <v/>
      </c>
      <c r="J662" s="6"/>
    </row>
    <row r="663" customFormat="false" ht="15" hidden="false" customHeight="false" outlineLevel="0" collapsed="false">
      <c r="A663" s="5" t="s">
        <v>382</v>
      </c>
      <c r="B663" s="5" t="s">
        <v>431</v>
      </c>
      <c r="C663" s="5" t="s">
        <v>67</v>
      </c>
      <c r="D663" s="6" t="s">
        <v>68</v>
      </c>
      <c r="E663" s="5" t="s">
        <v>434</v>
      </c>
      <c r="F663" s="5" t="s">
        <v>435</v>
      </c>
      <c r="G663" s="7"/>
      <c r="H663" s="5" t="str">
        <f aca="false">IF($G663="","",IF(LOWER(TRIM($G663))=LOWER(TRIM($F663)),"Match","Mismatch"))</f>
        <v/>
      </c>
      <c r="I663" s="5" t="str">
        <f aca="false">IF($G663="","",IF(LOWER(TRIM($G663))=LOWER(TRIM($E663)),"Match","Mismatch"))</f>
        <v/>
      </c>
      <c r="J663" s="6"/>
    </row>
    <row r="664" customFormat="false" ht="15" hidden="false" customHeight="false" outlineLevel="0" collapsed="false">
      <c r="A664" s="5" t="s">
        <v>382</v>
      </c>
      <c r="B664" s="5" t="s">
        <v>431</v>
      </c>
      <c r="C664" s="5" t="s">
        <v>70</v>
      </c>
      <c r="D664" s="6" t="s">
        <v>71</v>
      </c>
      <c r="E664" s="5" t="s">
        <v>436</v>
      </c>
      <c r="F664" s="5" t="s">
        <v>437</v>
      </c>
      <c r="G664" s="7"/>
      <c r="H664" s="5" t="str">
        <f aca="false">IF($G664="","",IF(LOWER(TRIM($G664))=LOWER(TRIM($F664)),"Match","Mismatch"))</f>
        <v/>
      </c>
      <c r="I664" s="5" t="str">
        <f aca="false">IF($G664="","",IF(LOWER(TRIM($G664))=LOWER(TRIM($E664)),"Match","Mismatch"))</f>
        <v/>
      </c>
      <c r="J664" s="6"/>
    </row>
    <row r="665" customFormat="false" ht="15" hidden="false" customHeight="false" outlineLevel="0" collapsed="false">
      <c r="A665" s="5" t="s">
        <v>382</v>
      </c>
      <c r="B665" s="5" t="s">
        <v>431</v>
      </c>
      <c r="C665" s="5" t="s">
        <v>70</v>
      </c>
      <c r="D665" s="6" t="s">
        <v>73</v>
      </c>
      <c r="E665" s="5" t="s">
        <v>436</v>
      </c>
      <c r="F665" s="5" t="s">
        <v>438</v>
      </c>
      <c r="G665" s="7"/>
      <c r="H665" s="5" t="str">
        <f aca="false">IF($G665="","",IF(LOWER(TRIM($G665))=LOWER(TRIM($F665)),"Match","Mismatch"))</f>
        <v/>
      </c>
      <c r="I665" s="5" t="str">
        <f aca="false">IF($G665="","",IF(LOWER(TRIM($G665))=LOWER(TRIM($E665)),"Match","Mismatch"))</f>
        <v/>
      </c>
      <c r="J665" s="6"/>
    </row>
    <row r="666" customFormat="false" ht="15" hidden="false" customHeight="false" outlineLevel="0" collapsed="false">
      <c r="A666" s="5" t="s">
        <v>382</v>
      </c>
      <c r="B666" s="5" t="s">
        <v>431</v>
      </c>
      <c r="C666" s="5" t="s">
        <v>70</v>
      </c>
      <c r="D666" s="6" t="s">
        <v>75</v>
      </c>
      <c r="E666" s="5" t="s">
        <v>436</v>
      </c>
      <c r="F666" s="5" t="s">
        <v>439</v>
      </c>
      <c r="G666" s="7"/>
      <c r="H666" s="5" t="str">
        <f aca="false">IF($G666="","",IF(LOWER(TRIM($G666))=LOWER(TRIM($F666)),"Match","Mismatch"))</f>
        <v/>
      </c>
      <c r="I666" s="5" t="str">
        <f aca="false">IF($G666="","",IF(LOWER(TRIM($G666))=LOWER(TRIM($E666)),"Match","Mismatch"))</f>
        <v/>
      </c>
      <c r="J666" s="6"/>
    </row>
    <row r="667" customFormat="false" ht="15" hidden="false" customHeight="false" outlineLevel="0" collapsed="false">
      <c r="A667" s="5" t="s">
        <v>382</v>
      </c>
      <c r="B667" s="5" t="s">
        <v>431</v>
      </c>
      <c r="C667" s="5" t="s">
        <v>70</v>
      </c>
      <c r="D667" s="6" t="s">
        <v>77</v>
      </c>
      <c r="E667" s="5" t="s">
        <v>440</v>
      </c>
      <c r="F667" s="5" t="s">
        <v>423</v>
      </c>
      <c r="G667" s="7"/>
      <c r="H667" s="5" t="str">
        <f aca="false">IF($G667="","",IF(LOWER(TRIM($G667))=LOWER(TRIM($F667)),"Match","Mismatch"))</f>
        <v/>
      </c>
      <c r="I667" s="5" t="str">
        <f aca="false">IF($G667="","",IF(LOWER(TRIM($G667))=LOWER(TRIM($E667)),"Match","Mismatch"))</f>
        <v/>
      </c>
      <c r="J667" s="6"/>
    </row>
    <row r="668" customFormat="false" ht="15" hidden="false" customHeight="false" outlineLevel="0" collapsed="false">
      <c r="A668" s="5" t="s">
        <v>382</v>
      </c>
      <c r="B668" s="5" t="s">
        <v>431</v>
      </c>
      <c r="C668" s="5" t="s">
        <v>70</v>
      </c>
      <c r="D668" s="6" t="s">
        <v>80</v>
      </c>
      <c r="E668" s="5"/>
      <c r="F668" s="5" t="s">
        <v>441</v>
      </c>
      <c r="G668" s="7"/>
      <c r="H668" s="5" t="str">
        <f aca="false">IF($G668="","",IF(LOWER(TRIM($G668))=LOWER(TRIM($F668)),"Match","Mismatch"))</f>
        <v/>
      </c>
      <c r="I668" s="5" t="str">
        <f aca="false">IF($G668="","",IF(LOWER(TRIM($G668))=LOWER(TRIM($E668)),"Match","Mismatch"))</f>
        <v/>
      </c>
      <c r="J668" s="6"/>
    </row>
    <row r="669" customFormat="false" ht="15" hidden="false" customHeight="false" outlineLevel="0" collapsed="false">
      <c r="A669" s="5" t="s">
        <v>382</v>
      </c>
      <c r="B669" s="5" t="s">
        <v>431</v>
      </c>
      <c r="C669" s="5" t="s">
        <v>70</v>
      </c>
      <c r="D669" s="6" t="s">
        <v>82</v>
      </c>
      <c r="E669" s="5" t="s">
        <v>442</v>
      </c>
      <c r="F669" s="5" t="s">
        <v>443</v>
      </c>
      <c r="G669" s="7"/>
      <c r="H669" s="5" t="str">
        <f aca="false">IF($G669="","",IF(LOWER(TRIM($G669))=LOWER(TRIM($F669)),"Match","Mismatch"))</f>
        <v/>
      </c>
      <c r="I669" s="5" t="str">
        <f aca="false">IF($G669="","",IF(LOWER(TRIM($G669))=LOWER(TRIM($E669)),"Match","Mismatch"))</f>
        <v/>
      </c>
      <c r="J669" s="6"/>
    </row>
    <row r="670" customFormat="false" ht="15" hidden="false" customHeight="false" outlineLevel="0" collapsed="false">
      <c r="A670" s="5" t="s">
        <v>382</v>
      </c>
      <c r="B670" s="5" t="s">
        <v>431</v>
      </c>
      <c r="C670" s="5" t="s">
        <v>70</v>
      </c>
      <c r="D670" s="6" t="s">
        <v>84</v>
      </c>
      <c r="E670" s="5" t="s">
        <v>444</v>
      </c>
      <c r="F670" s="5" t="s">
        <v>445</v>
      </c>
      <c r="G670" s="7"/>
      <c r="H670" s="5" t="str">
        <f aca="false">IF($G670="","",IF(LOWER(TRIM($G670))=LOWER(TRIM($F670)),"Match","Mismatch"))</f>
        <v/>
      </c>
      <c r="I670" s="5" t="str">
        <f aca="false">IF($G670="","",IF(LOWER(TRIM($G670))=LOWER(TRIM($E670)),"Match","Mismatch"))</f>
        <v/>
      </c>
      <c r="J670" s="6"/>
    </row>
    <row r="671" customFormat="false" ht="15" hidden="false" customHeight="false" outlineLevel="0" collapsed="false">
      <c r="A671" s="5" t="s">
        <v>382</v>
      </c>
      <c r="B671" s="5" t="s">
        <v>431</v>
      </c>
      <c r="C671" s="5" t="s">
        <v>70</v>
      </c>
      <c r="D671" s="6" t="s">
        <v>86</v>
      </c>
      <c r="E671" s="5" t="s">
        <v>440</v>
      </c>
      <c r="F671" s="5" t="s">
        <v>446</v>
      </c>
      <c r="G671" s="7"/>
      <c r="H671" s="5" t="str">
        <f aca="false">IF($G671="","",IF(LOWER(TRIM($G671))=LOWER(TRIM($F671)),"Match","Mismatch"))</f>
        <v/>
      </c>
      <c r="I671" s="5" t="str">
        <f aca="false">IF($G671="","",IF(LOWER(TRIM($G671))=LOWER(TRIM($E671)),"Match","Mismatch"))</f>
        <v/>
      </c>
      <c r="J671" s="6"/>
    </row>
    <row r="672" customFormat="false" ht="23.85" hidden="false" customHeight="false" outlineLevel="0" collapsed="false">
      <c r="A672" s="5" t="s">
        <v>382</v>
      </c>
      <c r="B672" s="5" t="s">
        <v>447</v>
      </c>
      <c r="C672" s="5" t="s">
        <v>27</v>
      </c>
      <c r="D672" s="6" t="s">
        <v>30</v>
      </c>
      <c r="E672" s="5"/>
      <c r="F672" s="5" t="s">
        <v>29</v>
      </c>
      <c r="G672" s="7"/>
      <c r="H672" s="5" t="str">
        <f aca="false">IF($G672="","",IF(LOWER(TRIM($G672))=LOWER(TRIM($F672)),"Match","Mismatch"))</f>
        <v/>
      </c>
      <c r="I672" s="5" t="str">
        <f aca="false">IF($G672="","",IF(LOWER(TRIM($G672))=LOWER(TRIM($E672)),"Match","Mismatch"))</f>
        <v/>
      </c>
      <c r="J672" s="6"/>
    </row>
    <row r="673" customFormat="false" ht="35.05" hidden="false" customHeight="false" outlineLevel="0" collapsed="false">
      <c r="A673" s="5" t="s">
        <v>382</v>
      </c>
      <c r="B673" s="5" t="s">
        <v>447</v>
      </c>
      <c r="C673" s="5" t="s">
        <v>27</v>
      </c>
      <c r="D673" s="6" t="s">
        <v>33</v>
      </c>
      <c r="E673" s="5"/>
      <c r="F673" s="5" t="s">
        <v>29</v>
      </c>
      <c r="G673" s="7"/>
      <c r="H673" s="5" t="str">
        <f aca="false">IF($G673="","",IF(LOWER(TRIM($G673))=LOWER(TRIM($F673)),"Match","Mismatch"))</f>
        <v/>
      </c>
      <c r="I673" s="5" t="str">
        <f aca="false">IF($G673="","",IF(LOWER(TRIM($G673))=LOWER(TRIM($E673)),"Match","Mismatch"))</f>
        <v/>
      </c>
      <c r="J673" s="6"/>
    </row>
    <row r="674" customFormat="false" ht="23.85" hidden="false" customHeight="false" outlineLevel="0" collapsed="false">
      <c r="A674" s="5" t="s">
        <v>382</v>
      </c>
      <c r="B674" s="5" t="s">
        <v>447</v>
      </c>
      <c r="C674" s="5" t="s">
        <v>27</v>
      </c>
      <c r="D674" s="6" t="s">
        <v>38</v>
      </c>
      <c r="E674" s="5"/>
      <c r="F674" s="5" t="s">
        <v>29</v>
      </c>
      <c r="G674" s="7"/>
      <c r="H674" s="5" t="str">
        <f aca="false">IF($G674="","",IF(LOWER(TRIM($G674))=LOWER(TRIM($F674)),"Match","Mismatch"))</f>
        <v/>
      </c>
      <c r="I674" s="5" t="str">
        <f aca="false">IF($G674="","",IF(LOWER(TRIM($G674))=LOWER(TRIM($E674)),"Match","Mismatch"))</f>
        <v/>
      </c>
      <c r="J674" s="6"/>
    </row>
    <row r="675" customFormat="false" ht="15" hidden="false" customHeight="false" outlineLevel="0" collapsed="false">
      <c r="A675" s="5" t="s">
        <v>382</v>
      </c>
      <c r="B675" s="5" t="s">
        <v>447</v>
      </c>
      <c r="C675" s="5" t="s">
        <v>39</v>
      </c>
      <c r="D675" s="6" t="s">
        <v>40</v>
      </c>
      <c r="E675" s="5" t="s">
        <v>46</v>
      </c>
      <c r="F675" s="5" t="s">
        <v>55</v>
      </c>
      <c r="G675" s="7"/>
      <c r="H675" s="5" t="str">
        <f aca="false">IF($G675="","",IF(LOWER(TRIM($G675))=LOWER(TRIM($F675)),"Match","Mismatch"))</f>
        <v/>
      </c>
      <c r="I675" s="5" t="str">
        <f aca="false">IF($G675="","",IF(LOWER(TRIM($G675))=LOWER(TRIM($E675)),"Match","Mismatch"))</f>
        <v/>
      </c>
      <c r="J675" s="6"/>
    </row>
    <row r="676" customFormat="false" ht="23.85" hidden="false" customHeight="false" outlineLevel="0" collapsed="false">
      <c r="A676" s="5" t="s">
        <v>382</v>
      </c>
      <c r="B676" s="5" t="s">
        <v>447</v>
      </c>
      <c r="C676" s="5" t="s">
        <v>39</v>
      </c>
      <c r="D676" s="6" t="s">
        <v>42</v>
      </c>
      <c r="E676" s="5" t="s">
        <v>190</v>
      </c>
      <c r="F676" s="5" t="s">
        <v>43</v>
      </c>
      <c r="G676" s="7"/>
      <c r="H676" s="5" t="str">
        <f aca="false">IF($G676="","",IF(LOWER(TRIM($G676))=LOWER(TRIM($F676)),"Match","Mismatch"))</f>
        <v/>
      </c>
      <c r="I676" s="5" t="str">
        <f aca="false">IF($G676="","",IF(LOWER(TRIM($G676))=LOWER(TRIM($E676)),"Match","Mismatch"))</f>
        <v/>
      </c>
      <c r="J676" s="6"/>
    </row>
    <row r="677" customFormat="false" ht="23.85" hidden="false" customHeight="false" outlineLevel="0" collapsed="false">
      <c r="A677" s="5" t="s">
        <v>382</v>
      </c>
      <c r="B677" s="5" t="s">
        <v>447</v>
      </c>
      <c r="C677" s="5" t="s">
        <v>39</v>
      </c>
      <c r="D677" s="6" t="s">
        <v>44</v>
      </c>
      <c r="E677" s="5"/>
      <c r="F677" s="5" t="s">
        <v>55</v>
      </c>
      <c r="G677" s="7"/>
      <c r="H677" s="5" t="str">
        <f aca="false">IF($G677="","",IF(LOWER(TRIM($G677))=LOWER(TRIM($F677)),"Match","Mismatch"))</f>
        <v/>
      </c>
      <c r="I677" s="5" t="str">
        <f aca="false">IF($G677="","",IF(LOWER(TRIM($G677))=LOWER(TRIM($E677)),"Match","Mismatch"))</f>
        <v/>
      </c>
      <c r="J677" s="6"/>
    </row>
    <row r="678" customFormat="false" ht="15" hidden="false" customHeight="false" outlineLevel="0" collapsed="false">
      <c r="A678" s="5" t="s">
        <v>382</v>
      </c>
      <c r="B678" s="5" t="s">
        <v>447</v>
      </c>
      <c r="C678" s="5" t="s">
        <v>39</v>
      </c>
      <c r="D678" s="6" t="s">
        <v>47</v>
      </c>
      <c r="E678" s="5" t="s">
        <v>46</v>
      </c>
      <c r="F678" s="5" t="s">
        <v>55</v>
      </c>
      <c r="G678" s="7"/>
      <c r="H678" s="5" t="str">
        <f aca="false">IF($G678="","",IF(LOWER(TRIM($G678))=LOWER(TRIM($F678)),"Match","Mismatch"))</f>
        <v/>
      </c>
      <c r="I678" s="5" t="str">
        <f aca="false">IF($G678="","",IF(LOWER(TRIM($G678))=LOWER(TRIM($E678)),"Match","Mismatch"))</f>
        <v/>
      </c>
      <c r="J678" s="6"/>
    </row>
    <row r="679" customFormat="false" ht="23.85" hidden="false" customHeight="false" outlineLevel="0" collapsed="false">
      <c r="A679" s="5" t="s">
        <v>382</v>
      </c>
      <c r="B679" s="5" t="s">
        <v>447</v>
      </c>
      <c r="C679" s="5" t="s">
        <v>39</v>
      </c>
      <c r="D679" s="6" t="s">
        <v>56</v>
      </c>
      <c r="E679" s="5" t="s">
        <v>55</v>
      </c>
      <c r="F679" s="5" t="s">
        <v>43</v>
      </c>
      <c r="G679" s="7"/>
      <c r="H679" s="5" t="str">
        <f aca="false">IF($G679="","",IF(LOWER(TRIM($G679))=LOWER(TRIM($F679)),"Match","Mismatch"))</f>
        <v/>
      </c>
      <c r="I679" s="5" t="str">
        <f aca="false">IF($G679="","",IF(LOWER(TRIM($G679))=LOWER(TRIM($E679)),"Match","Mismatch"))</f>
        <v/>
      </c>
      <c r="J679" s="6"/>
    </row>
    <row r="680" customFormat="false" ht="15" hidden="false" customHeight="false" outlineLevel="0" collapsed="false">
      <c r="A680" s="5" t="s">
        <v>382</v>
      </c>
      <c r="B680" s="5" t="s">
        <v>447</v>
      </c>
      <c r="C680" s="5" t="s">
        <v>59</v>
      </c>
      <c r="D680" s="6" t="s">
        <v>60</v>
      </c>
      <c r="E680" s="5"/>
      <c r="F680" s="5" t="s">
        <v>29</v>
      </c>
      <c r="G680" s="7"/>
      <c r="H680" s="5" t="str">
        <f aca="false">IF($G680="","",IF(LOWER(TRIM($G680))=LOWER(TRIM($F680)),"Match","Mismatch"))</f>
        <v/>
      </c>
      <c r="I680" s="5" t="str">
        <f aca="false">IF($G680="","",IF(LOWER(TRIM($G680))=LOWER(TRIM($E680)),"Match","Mismatch"))</f>
        <v/>
      </c>
      <c r="J680" s="6"/>
    </row>
    <row r="681" customFormat="false" ht="15" hidden="false" customHeight="false" outlineLevel="0" collapsed="false">
      <c r="A681" s="5" t="s">
        <v>382</v>
      </c>
      <c r="B681" s="5" t="s">
        <v>447</v>
      </c>
      <c r="C681" s="5" t="s">
        <v>70</v>
      </c>
      <c r="D681" s="6" t="s">
        <v>71</v>
      </c>
      <c r="E681" s="5" t="s">
        <v>448</v>
      </c>
      <c r="F681" s="5" t="s">
        <v>449</v>
      </c>
      <c r="G681" s="7"/>
      <c r="H681" s="5" t="str">
        <f aca="false">IF($G681="","",IF(LOWER(TRIM($G681))=LOWER(TRIM($F681)),"Match","Mismatch"))</f>
        <v/>
      </c>
      <c r="I681" s="5" t="str">
        <f aca="false">IF($G681="","",IF(LOWER(TRIM($G681))=LOWER(TRIM($E681)),"Match","Mismatch"))</f>
        <v/>
      </c>
      <c r="J681" s="6"/>
    </row>
    <row r="682" customFormat="false" ht="15" hidden="false" customHeight="false" outlineLevel="0" collapsed="false">
      <c r="A682" s="5" t="s">
        <v>382</v>
      </c>
      <c r="B682" s="5" t="s">
        <v>447</v>
      </c>
      <c r="C682" s="5" t="s">
        <v>70</v>
      </c>
      <c r="D682" s="6" t="s">
        <v>73</v>
      </c>
      <c r="E682" s="5" t="s">
        <v>450</v>
      </c>
      <c r="F682" s="5" t="s">
        <v>451</v>
      </c>
      <c r="G682" s="7"/>
      <c r="H682" s="5" t="str">
        <f aca="false">IF($G682="","",IF(LOWER(TRIM($G682))=LOWER(TRIM($F682)),"Match","Mismatch"))</f>
        <v/>
      </c>
      <c r="I682" s="5" t="str">
        <f aca="false">IF($G682="","",IF(LOWER(TRIM($G682))=LOWER(TRIM($E682)),"Match","Mismatch"))</f>
        <v/>
      </c>
      <c r="J682" s="6"/>
    </row>
    <row r="683" customFormat="false" ht="15" hidden="false" customHeight="false" outlineLevel="0" collapsed="false">
      <c r="A683" s="5" t="s">
        <v>382</v>
      </c>
      <c r="B683" s="5" t="s">
        <v>447</v>
      </c>
      <c r="C683" s="5" t="s">
        <v>70</v>
      </c>
      <c r="D683" s="6" t="s">
        <v>77</v>
      </c>
      <c r="E683" s="5"/>
      <c r="F683" s="5" t="s">
        <v>423</v>
      </c>
      <c r="G683" s="7"/>
      <c r="H683" s="5" t="str">
        <f aca="false">IF($G683="","",IF(LOWER(TRIM($G683))=LOWER(TRIM($F683)),"Match","Mismatch"))</f>
        <v/>
      </c>
      <c r="I683" s="5" t="str">
        <f aca="false">IF($G683="","",IF(LOWER(TRIM($G683))=LOWER(TRIM($E683)),"Match","Mismatch"))</f>
        <v/>
      </c>
      <c r="J683" s="6"/>
    </row>
    <row r="684" customFormat="false" ht="15" hidden="false" customHeight="false" outlineLevel="0" collapsed="false">
      <c r="A684" s="5" t="s">
        <v>382</v>
      </c>
      <c r="B684" s="5" t="s">
        <v>447</v>
      </c>
      <c r="C684" s="5" t="s">
        <v>70</v>
      </c>
      <c r="D684" s="6" t="s">
        <v>80</v>
      </c>
      <c r="E684" s="5" t="s">
        <v>452</v>
      </c>
      <c r="F684" s="5" t="s">
        <v>453</v>
      </c>
      <c r="G684" s="7"/>
      <c r="H684" s="5" t="str">
        <f aca="false">IF($G684="","",IF(LOWER(TRIM($G684))=LOWER(TRIM($F684)),"Match","Mismatch"))</f>
        <v/>
      </c>
      <c r="I684" s="5" t="str">
        <f aca="false">IF($G684="","",IF(LOWER(TRIM($G684))=LOWER(TRIM($E684)),"Match","Mismatch"))</f>
        <v/>
      </c>
      <c r="J684" s="6"/>
    </row>
    <row r="685" customFormat="false" ht="15" hidden="false" customHeight="false" outlineLevel="0" collapsed="false">
      <c r="A685" s="5" t="s">
        <v>382</v>
      </c>
      <c r="B685" s="5" t="s">
        <v>447</v>
      </c>
      <c r="C685" s="5" t="s">
        <v>70</v>
      </c>
      <c r="D685" s="6" t="s">
        <v>82</v>
      </c>
      <c r="E685" s="5" t="s">
        <v>454</v>
      </c>
      <c r="F685" s="5" t="s">
        <v>455</v>
      </c>
      <c r="G685" s="7"/>
      <c r="H685" s="5" t="str">
        <f aca="false">IF($G685="","",IF(LOWER(TRIM($G685))=LOWER(TRIM($F685)),"Match","Mismatch"))</f>
        <v/>
      </c>
      <c r="I685" s="5" t="str">
        <f aca="false">IF($G685="","",IF(LOWER(TRIM($G685))=LOWER(TRIM($E685)),"Match","Mismatch"))</f>
        <v/>
      </c>
      <c r="J685" s="6"/>
    </row>
    <row r="686" customFormat="false" ht="15" hidden="false" customHeight="false" outlineLevel="0" collapsed="false">
      <c r="A686" s="5" t="s">
        <v>382</v>
      </c>
      <c r="B686" s="5" t="s">
        <v>447</v>
      </c>
      <c r="C686" s="5" t="s">
        <v>70</v>
      </c>
      <c r="D686" s="6" t="s">
        <v>84</v>
      </c>
      <c r="E686" s="5" t="s">
        <v>456</v>
      </c>
      <c r="F686" s="5" t="s">
        <v>457</v>
      </c>
      <c r="G686" s="7"/>
      <c r="H686" s="5" t="str">
        <f aca="false">IF($G686="","",IF(LOWER(TRIM($G686))=LOWER(TRIM($F686)),"Match","Mismatch"))</f>
        <v/>
      </c>
      <c r="I686" s="5" t="str">
        <f aca="false">IF($G686="","",IF(LOWER(TRIM($G686))=LOWER(TRIM($E686)),"Match","Mismatch"))</f>
        <v/>
      </c>
      <c r="J686" s="6"/>
    </row>
    <row r="687" customFormat="false" ht="15" hidden="false" customHeight="false" outlineLevel="0" collapsed="false">
      <c r="A687" s="5" t="s">
        <v>382</v>
      </c>
      <c r="B687" s="5" t="s">
        <v>447</v>
      </c>
      <c r="C687" s="5" t="s">
        <v>70</v>
      </c>
      <c r="D687" s="6" t="s">
        <v>86</v>
      </c>
      <c r="E687" s="5" t="s">
        <v>458</v>
      </c>
      <c r="F687" s="5" t="s">
        <v>459</v>
      </c>
      <c r="G687" s="7"/>
      <c r="H687" s="5" t="str">
        <f aca="false">IF($G687="","",IF(LOWER(TRIM($G687))=LOWER(TRIM($F687)),"Match","Mismatch"))</f>
        <v/>
      </c>
      <c r="I687" s="5" t="str">
        <f aca="false">IF($G687="","",IF(LOWER(TRIM($G687))=LOWER(TRIM($E687)),"Match","Mismatch"))</f>
        <v/>
      </c>
      <c r="J687" s="6"/>
    </row>
    <row r="688" customFormat="false" ht="23.85" hidden="false" customHeight="false" outlineLevel="0" collapsed="false">
      <c r="A688" s="5" t="s">
        <v>382</v>
      </c>
      <c r="B688" s="5" t="s">
        <v>460</v>
      </c>
      <c r="C688" s="5" t="s">
        <v>27</v>
      </c>
      <c r="D688" s="6" t="s">
        <v>28</v>
      </c>
      <c r="E688" s="5"/>
      <c r="F688" s="5" t="s">
        <v>29</v>
      </c>
      <c r="G688" s="7"/>
      <c r="H688" s="5" t="str">
        <f aca="false">IF($G688="","",IF(LOWER(TRIM($G688))=LOWER(TRIM($F688)),"Match","Mismatch"))</f>
        <v/>
      </c>
      <c r="I688" s="5" t="str">
        <f aca="false">IF($G688="","",IF(LOWER(TRIM($G688))=LOWER(TRIM($E688)),"Match","Mismatch"))</f>
        <v/>
      </c>
      <c r="J688" s="6"/>
    </row>
    <row r="689" customFormat="false" ht="23.85" hidden="false" customHeight="false" outlineLevel="0" collapsed="false">
      <c r="A689" s="5" t="s">
        <v>382</v>
      </c>
      <c r="B689" s="5" t="s">
        <v>460</v>
      </c>
      <c r="C689" s="5" t="s">
        <v>27</v>
      </c>
      <c r="D689" s="6" t="s">
        <v>30</v>
      </c>
      <c r="E689" s="5"/>
      <c r="F689" s="5" t="s">
        <v>31</v>
      </c>
      <c r="G689" s="7"/>
      <c r="H689" s="5" t="str">
        <f aca="false">IF($G689="","",IF(LOWER(TRIM($G689))=LOWER(TRIM($F689)),"Match","Mismatch"))</f>
        <v/>
      </c>
      <c r="I689" s="5" t="str">
        <f aca="false">IF($G689="","",IF(LOWER(TRIM($G689))=LOWER(TRIM($E689)),"Match","Mismatch"))</f>
        <v/>
      </c>
      <c r="J689" s="6"/>
    </row>
    <row r="690" customFormat="false" ht="35.05" hidden="false" customHeight="false" outlineLevel="0" collapsed="false">
      <c r="A690" s="5" t="s">
        <v>382</v>
      </c>
      <c r="B690" s="5" t="s">
        <v>460</v>
      </c>
      <c r="C690" s="5" t="s">
        <v>27</v>
      </c>
      <c r="D690" s="6" t="s">
        <v>32</v>
      </c>
      <c r="E690" s="5"/>
      <c r="F690" s="5" t="s">
        <v>31</v>
      </c>
      <c r="G690" s="7"/>
      <c r="H690" s="5" t="str">
        <f aca="false">IF($G690="","",IF(LOWER(TRIM($G690))=LOWER(TRIM($F690)),"Match","Mismatch"))</f>
        <v/>
      </c>
      <c r="I690" s="5" t="str">
        <f aca="false">IF($G690="","",IF(LOWER(TRIM($G690))=LOWER(TRIM($E690)),"Match","Mismatch"))</f>
        <v/>
      </c>
      <c r="J690" s="6"/>
    </row>
    <row r="691" customFormat="false" ht="23.85" hidden="false" customHeight="false" outlineLevel="0" collapsed="false">
      <c r="A691" s="5" t="s">
        <v>382</v>
      </c>
      <c r="B691" s="5" t="s">
        <v>460</v>
      </c>
      <c r="C691" s="5" t="s">
        <v>27</v>
      </c>
      <c r="D691" s="6" t="s">
        <v>34</v>
      </c>
      <c r="E691" s="5"/>
      <c r="F691" s="5" t="s">
        <v>29</v>
      </c>
      <c r="G691" s="7"/>
      <c r="H691" s="5" t="str">
        <f aca="false">IF($G691="","",IF(LOWER(TRIM($G691))=LOWER(TRIM($F691)),"Match","Mismatch"))</f>
        <v/>
      </c>
      <c r="I691" s="5" t="str">
        <f aca="false">IF($G691="","",IF(LOWER(TRIM($G691))=LOWER(TRIM($E691)),"Match","Mismatch"))</f>
        <v/>
      </c>
      <c r="J691" s="6"/>
    </row>
    <row r="692" customFormat="false" ht="15" hidden="false" customHeight="false" outlineLevel="0" collapsed="false">
      <c r="A692" s="5" t="s">
        <v>382</v>
      </c>
      <c r="B692" s="5" t="s">
        <v>460</v>
      </c>
      <c r="C692" s="5" t="s">
        <v>27</v>
      </c>
      <c r="D692" s="6" t="s">
        <v>35</v>
      </c>
      <c r="E692" s="5" t="s">
        <v>461</v>
      </c>
      <c r="F692" s="5" t="s">
        <v>462</v>
      </c>
      <c r="G692" s="7"/>
      <c r="H692" s="5" t="str">
        <f aca="false">IF($G692="","",IF(LOWER(TRIM($G692))=LOWER(TRIM($F692)),"Match","Mismatch"))</f>
        <v/>
      </c>
      <c r="I692" s="5" t="str">
        <f aca="false">IF($G692="","",IF(LOWER(TRIM($G692))=LOWER(TRIM($E692)),"Match","Mismatch"))</f>
        <v/>
      </c>
      <c r="J692" s="6"/>
    </row>
    <row r="693" customFormat="false" ht="23.85" hidden="false" customHeight="false" outlineLevel="0" collapsed="false">
      <c r="A693" s="5" t="s">
        <v>382</v>
      </c>
      <c r="B693" s="5" t="s">
        <v>460</v>
      </c>
      <c r="C693" s="5" t="s">
        <v>27</v>
      </c>
      <c r="D693" s="6" t="s">
        <v>38</v>
      </c>
      <c r="E693" s="5"/>
      <c r="F693" s="5" t="s">
        <v>31</v>
      </c>
      <c r="G693" s="7"/>
      <c r="H693" s="5" t="str">
        <f aca="false">IF($G693="","",IF(LOWER(TRIM($G693))=LOWER(TRIM($F693)),"Match","Mismatch"))</f>
        <v/>
      </c>
      <c r="I693" s="5" t="str">
        <f aca="false">IF($G693="","",IF(LOWER(TRIM($G693))=LOWER(TRIM($E693)),"Match","Mismatch"))</f>
        <v/>
      </c>
      <c r="J693" s="6"/>
    </row>
    <row r="694" customFormat="false" ht="15" hidden="false" customHeight="false" outlineLevel="0" collapsed="false">
      <c r="A694" s="5" t="s">
        <v>382</v>
      </c>
      <c r="B694" s="5" t="s">
        <v>460</v>
      </c>
      <c r="C694" s="5" t="s">
        <v>39</v>
      </c>
      <c r="D694" s="6" t="s">
        <v>40</v>
      </c>
      <c r="E694" s="5" t="s">
        <v>46</v>
      </c>
      <c r="F694" s="5" t="s">
        <v>41</v>
      </c>
      <c r="G694" s="7"/>
      <c r="H694" s="5" t="str">
        <f aca="false">IF($G694="","",IF(LOWER(TRIM($G694))=LOWER(TRIM($F694)),"Match","Mismatch"))</f>
        <v/>
      </c>
      <c r="I694" s="5" t="str">
        <f aca="false">IF($G694="","",IF(LOWER(TRIM($G694))=LOWER(TRIM($E694)),"Match","Mismatch"))</f>
        <v/>
      </c>
      <c r="J694" s="6"/>
    </row>
    <row r="695" customFormat="false" ht="15" hidden="false" customHeight="false" outlineLevel="0" collapsed="false">
      <c r="A695" s="5" t="s">
        <v>382</v>
      </c>
      <c r="B695" s="5" t="s">
        <v>460</v>
      </c>
      <c r="C695" s="5" t="s">
        <v>59</v>
      </c>
      <c r="D695" s="6" t="s">
        <v>60</v>
      </c>
      <c r="E695" s="5"/>
      <c r="F695" s="5" t="s">
        <v>29</v>
      </c>
      <c r="G695" s="7"/>
      <c r="H695" s="5" t="str">
        <f aca="false">IF($G695="","",IF(LOWER(TRIM($G695))=LOWER(TRIM($F695)),"Match","Mismatch"))</f>
        <v/>
      </c>
      <c r="I695" s="5" t="str">
        <f aca="false">IF($G695="","",IF(LOWER(TRIM($G695))=LOWER(TRIM($E695)),"Match","Mismatch"))</f>
        <v/>
      </c>
      <c r="J695" s="6"/>
    </row>
    <row r="696" customFormat="false" ht="23.85" hidden="false" customHeight="false" outlineLevel="0" collapsed="false">
      <c r="A696" s="5" t="s">
        <v>382</v>
      </c>
      <c r="B696" s="5" t="s">
        <v>460</v>
      </c>
      <c r="C696" s="5" t="s">
        <v>59</v>
      </c>
      <c r="D696" s="6" t="s">
        <v>61</v>
      </c>
      <c r="E696" s="5"/>
      <c r="F696" s="5" t="s">
        <v>31</v>
      </c>
      <c r="G696" s="7"/>
      <c r="H696" s="5" t="str">
        <f aca="false">IF($G696="","",IF(LOWER(TRIM($G696))=LOWER(TRIM($F696)),"Match","Mismatch"))</f>
        <v/>
      </c>
      <c r="I696" s="5" t="str">
        <f aca="false">IF($G696="","",IF(LOWER(TRIM($G696))=LOWER(TRIM($E696)),"Match","Mismatch"))</f>
        <v/>
      </c>
      <c r="J696" s="6"/>
    </row>
    <row r="697" customFormat="false" ht="15" hidden="false" customHeight="false" outlineLevel="0" collapsed="false">
      <c r="A697" s="5" t="s">
        <v>382</v>
      </c>
      <c r="B697" s="5" t="s">
        <v>460</v>
      </c>
      <c r="C697" s="5" t="s">
        <v>59</v>
      </c>
      <c r="D697" s="6" t="s">
        <v>62</v>
      </c>
      <c r="E697" s="5"/>
      <c r="F697" s="5" t="s">
        <v>31</v>
      </c>
      <c r="G697" s="7"/>
      <c r="H697" s="5" t="str">
        <f aca="false">IF($G697="","",IF(LOWER(TRIM($G697))=LOWER(TRIM($F697)),"Match","Mismatch"))</f>
        <v/>
      </c>
      <c r="I697" s="5" t="str">
        <f aca="false">IF($G697="","",IF(LOWER(TRIM($G697))=LOWER(TRIM($E697)),"Match","Mismatch"))</f>
        <v/>
      </c>
      <c r="J697" s="6"/>
    </row>
    <row r="698" customFormat="false" ht="15" hidden="false" customHeight="false" outlineLevel="0" collapsed="false">
      <c r="A698" s="5" t="s">
        <v>382</v>
      </c>
      <c r="B698" s="5" t="s">
        <v>460</v>
      </c>
      <c r="C698" s="5" t="s">
        <v>59</v>
      </c>
      <c r="D698" s="6" t="s">
        <v>63</v>
      </c>
      <c r="E698" s="5" t="s">
        <v>463</v>
      </c>
      <c r="F698" s="5" t="s">
        <v>464</v>
      </c>
      <c r="G698" s="7"/>
      <c r="H698" s="5" t="str">
        <f aca="false">IF($G698="","",IF(LOWER(TRIM($G698))=LOWER(TRIM($F698)),"Match","Mismatch"))</f>
        <v/>
      </c>
      <c r="I698" s="5" t="str">
        <f aca="false">IF($G698="","",IF(LOWER(TRIM($G698))=LOWER(TRIM($E698)),"Match","Mismatch"))</f>
        <v/>
      </c>
      <c r="J698" s="6"/>
    </row>
    <row r="699" customFormat="false" ht="23.85" hidden="false" customHeight="false" outlineLevel="0" collapsed="false">
      <c r="A699" s="5" t="s">
        <v>382</v>
      </c>
      <c r="B699" s="5" t="s">
        <v>460</v>
      </c>
      <c r="C699" s="5" t="s">
        <v>59</v>
      </c>
      <c r="D699" s="6" t="s">
        <v>65</v>
      </c>
      <c r="E699" s="5"/>
      <c r="F699" s="5" t="s">
        <v>29</v>
      </c>
      <c r="G699" s="7"/>
      <c r="H699" s="5" t="str">
        <f aca="false">IF($G699="","",IF(LOWER(TRIM($G699))=LOWER(TRIM($F699)),"Match","Mismatch"))</f>
        <v/>
      </c>
      <c r="I699" s="5" t="str">
        <f aca="false">IF($G699="","",IF(LOWER(TRIM($G699))=LOWER(TRIM($E699)),"Match","Mismatch"))</f>
        <v/>
      </c>
      <c r="J699" s="6"/>
    </row>
    <row r="700" customFormat="false" ht="23.85" hidden="false" customHeight="false" outlineLevel="0" collapsed="false">
      <c r="A700" s="5" t="s">
        <v>382</v>
      </c>
      <c r="B700" s="5" t="s">
        <v>460</v>
      </c>
      <c r="C700" s="5" t="s">
        <v>59</v>
      </c>
      <c r="D700" s="6" t="s">
        <v>66</v>
      </c>
      <c r="E700" s="5"/>
      <c r="F700" s="5" t="s">
        <v>31</v>
      </c>
      <c r="G700" s="7"/>
      <c r="H700" s="5" t="str">
        <f aca="false">IF($G700="","",IF(LOWER(TRIM($G700))=LOWER(TRIM($F700)),"Match","Mismatch"))</f>
        <v/>
      </c>
      <c r="I700" s="5" t="str">
        <f aca="false">IF($G700="","",IF(LOWER(TRIM($G700))=LOWER(TRIM($E700)),"Match","Mismatch"))</f>
        <v/>
      </c>
      <c r="J700" s="6"/>
    </row>
    <row r="701" customFormat="false" ht="15" hidden="false" customHeight="false" outlineLevel="0" collapsed="false">
      <c r="A701" s="5" t="s">
        <v>382</v>
      </c>
      <c r="B701" s="5" t="s">
        <v>460</v>
      </c>
      <c r="C701" s="5" t="s">
        <v>67</v>
      </c>
      <c r="D701" s="6" t="s">
        <v>68</v>
      </c>
      <c r="E701" s="5" t="s">
        <v>465</v>
      </c>
      <c r="F701" s="5" t="s">
        <v>466</v>
      </c>
      <c r="G701" s="7"/>
      <c r="H701" s="5" t="str">
        <f aca="false">IF($G701="","",IF(LOWER(TRIM($G701))=LOWER(TRIM($F701)),"Match","Mismatch"))</f>
        <v/>
      </c>
      <c r="I701" s="5" t="str">
        <f aca="false">IF($G701="","",IF(LOWER(TRIM($G701))=LOWER(TRIM($E701)),"Match","Mismatch"))</f>
        <v/>
      </c>
      <c r="J701" s="6"/>
    </row>
    <row r="702" customFormat="false" ht="15" hidden="false" customHeight="false" outlineLevel="0" collapsed="false">
      <c r="A702" s="5" t="s">
        <v>382</v>
      </c>
      <c r="B702" s="5" t="s">
        <v>460</v>
      </c>
      <c r="C702" s="5" t="s">
        <v>70</v>
      </c>
      <c r="D702" s="6" t="s">
        <v>71</v>
      </c>
      <c r="E702" s="5" t="s">
        <v>467</v>
      </c>
      <c r="F702" s="5" t="s">
        <v>468</v>
      </c>
      <c r="G702" s="7"/>
      <c r="H702" s="5" t="str">
        <f aca="false">IF($G702="","",IF(LOWER(TRIM($G702))=LOWER(TRIM($F702)),"Match","Mismatch"))</f>
        <v/>
      </c>
      <c r="I702" s="5" t="str">
        <f aca="false">IF($G702="","",IF(LOWER(TRIM($G702))=LOWER(TRIM($E702)),"Match","Mismatch"))</f>
        <v/>
      </c>
      <c r="J702" s="6"/>
    </row>
    <row r="703" customFormat="false" ht="15" hidden="false" customHeight="false" outlineLevel="0" collapsed="false">
      <c r="A703" s="5" t="s">
        <v>382</v>
      </c>
      <c r="B703" s="5" t="s">
        <v>460</v>
      </c>
      <c r="C703" s="5" t="s">
        <v>70</v>
      </c>
      <c r="D703" s="6" t="s">
        <v>75</v>
      </c>
      <c r="E703" s="5" t="s">
        <v>469</v>
      </c>
      <c r="F703" s="5" t="s">
        <v>470</v>
      </c>
      <c r="G703" s="7"/>
      <c r="H703" s="5" t="str">
        <f aca="false">IF($G703="","",IF(LOWER(TRIM($G703))=LOWER(TRIM($F703)),"Match","Mismatch"))</f>
        <v/>
      </c>
      <c r="I703" s="5" t="str">
        <f aca="false">IF($G703="","",IF(LOWER(TRIM($G703))=LOWER(TRIM($E703)),"Match","Mismatch"))</f>
        <v/>
      </c>
      <c r="J703" s="6"/>
    </row>
    <row r="704" customFormat="false" ht="15" hidden="false" customHeight="false" outlineLevel="0" collapsed="false">
      <c r="A704" s="5" t="s">
        <v>382</v>
      </c>
      <c r="B704" s="5" t="s">
        <v>460</v>
      </c>
      <c r="C704" s="5" t="s">
        <v>70</v>
      </c>
      <c r="D704" s="6" t="s">
        <v>80</v>
      </c>
      <c r="E704" s="5" t="s">
        <v>471</v>
      </c>
      <c r="F704" s="5" t="s">
        <v>472</v>
      </c>
      <c r="G704" s="7"/>
      <c r="H704" s="5" t="str">
        <f aca="false">IF($G704="","",IF(LOWER(TRIM($G704))=LOWER(TRIM($F704)),"Match","Mismatch"))</f>
        <v/>
      </c>
      <c r="I704" s="5" t="str">
        <f aca="false">IF($G704="","",IF(LOWER(TRIM($G704))=LOWER(TRIM($E704)),"Match","Mismatch"))</f>
        <v/>
      </c>
      <c r="J704" s="6"/>
    </row>
    <row r="705" customFormat="false" ht="15" hidden="false" customHeight="false" outlineLevel="0" collapsed="false">
      <c r="A705" s="5" t="s">
        <v>382</v>
      </c>
      <c r="B705" s="5" t="s">
        <v>460</v>
      </c>
      <c r="C705" s="5" t="s">
        <v>70</v>
      </c>
      <c r="D705" s="6" t="s">
        <v>82</v>
      </c>
      <c r="E705" s="5" t="s">
        <v>469</v>
      </c>
      <c r="F705" s="5" t="s">
        <v>473</v>
      </c>
      <c r="G705" s="7"/>
      <c r="H705" s="5" t="str">
        <f aca="false">IF($G705="","",IF(LOWER(TRIM($G705))=LOWER(TRIM($F705)),"Match","Mismatch"))</f>
        <v/>
      </c>
      <c r="I705" s="5" t="str">
        <f aca="false">IF($G705="","",IF(LOWER(TRIM($G705))=LOWER(TRIM($E705)),"Match","Mismatch"))</f>
        <v/>
      </c>
      <c r="J705" s="6"/>
    </row>
    <row r="706" customFormat="false" ht="15" hidden="false" customHeight="false" outlineLevel="0" collapsed="false">
      <c r="A706" s="5" t="s">
        <v>382</v>
      </c>
      <c r="B706" s="5" t="s">
        <v>474</v>
      </c>
      <c r="C706" s="5" t="s">
        <v>27</v>
      </c>
      <c r="D706" s="6" t="s">
        <v>35</v>
      </c>
      <c r="E706" s="5"/>
      <c r="F706" s="5" t="s">
        <v>31</v>
      </c>
      <c r="G706" s="7"/>
      <c r="H706" s="5" t="str">
        <f aca="false">IF($G706="","",IF(LOWER(TRIM($G706))=LOWER(TRIM($F706)),"Match","Mismatch"))</f>
        <v/>
      </c>
      <c r="I706" s="5" t="str">
        <f aca="false">IF($G706="","",IF(LOWER(TRIM($G706))=LOWER(TRIM($E706)),"Match","Mismatch"))</f>
        <v/>
      </c>
      <c r="J706" s="6"/>
    </row>
    <row r="707" customFormat="false" ht="23.85" hidden="false" customHeight="false" outlineLevel="0" collapsed="false">
      <c r="A707" s="5" t="s">
        <v>382</v>
      </c>
      <c r="B707" s="5" t="s">
        <v>474</v>
      </c>
      <c r="C707" s="5" t="s">
        <v>27</v>
      </c>
      <c r="D707" s="6" t="s">
        <v>37</v>
      </c>
      <c r="E707" s="5"/>
      <c r="F707" s="5" t="s">
        <v>31</v>
      </c>
      <c r="G707" s="7"/>
      <c r="H707" s="5" t="str">
        <f aca="false">IF($G707="","",IF(LOWER(TRIM($G707))=LOWER(TRIM($F707)),"Match","Mismatch"))</f>
        <v/>
      </c>
      <c r="I707" s="5" t="str">
        <f aca="false">IF($G707="","",IF(LOWER(TRIM($G707))=LOWER(TRIM($E707)),"Match","Mismatch"))</f>
        <v/>
      </c>
      <c r="J707" s="6"/>
    </row>
    <row r="708" customFormat="false" ht="15" hidden="false" customHeight="false" outlineLevel="0" collapsed="false">
      <c r="A708" s="5" t="s">
        <v>382</v>
      </c>
      <c r="B708" s="5" t="s">
        <v>474</v>
      </c>
      <c r="C708" s="5" t="s">
        <v>39</v>
      </c>
      <c r="D708" s="6" t="s">
        <v>40</v>
      </c>
      <c r="E708" s="5"/>
      <c r="F708" s="5" t="s">
        <v>43</v>
      </c>
      <c r="G708" s="7"/>
      <c r="H708" s="5" t="str">
        <f aca="false">IF($G708="","",IF(LOWER(TRIM($G708))=LOWER(TRIM($F708)),"Match","Mismatch"))</f>
        <v/>
      </c>
      <c r="I708" s="5" t="str">
        <f aca="false">IF($G708="","",IF(LOWER(TRIM($G708))=LOWER(TRIM($E708)),"Match","Mismatch"))</f>
        <v/>
      </c>
      <c r="J708" s="6"/>
    </row>
    <row r="709" customFormat="false" ht="23.85" hidden="false" customHeight="false" outlineLevel="0" collapsed="false">
      <c r="A709" s="5" t="s">
        <v>382</v>
      </c>
      <c r="B709" s="5" t="s">
        <v>474</v>
      </c>
      <c r="C709" s="5" t="s">
        <v>39</v>
      </c>
      <c r="D709" s="6" t="s">
        <v>42</v>
      </c>
      <c r="E709" s="5"/>
      <c r="F709" s="5" t="s">
        <v>43</v>
      </c>
      <c r="G709" s="7"/>
      <c r="H709" s="5" t="str">
        <f aca="false">IF($G709="","",IF(LOWER(TRIM($G709))=LOWER(TRIM($F709)),"Match","Mismatch"))</f>
        <v/>
      </c>
      <c r="I709" s="5" t="str">
        <f aca="false">IF($G709="","",IF(LOWER(TRIM($G709))=LOWER(TRIM($E709)),"Match","Mismatch"))</f>
        <v/>
      </c>
      <c r="J709" s="6"/>
    </row>
    <row r="710" customFormat="false" ht="23.85" hidden="false" customHeight="false" outlineLevel="0" collapsed="false">
      <c r="A710" s="5" t="s">
        <v>382</v>
      </c>
      <c r="B710" s="5" t="s">
        <v>474</v>
      </c>
      <c r="C710" s="5" t="s">
        <v>39</v>
      </c>
      <c r="D710" s="6" t="s">
        <v>44</v>
      </c>
      <c r="E710" s="5"/>
      <c r="F710" s="5" t="s">
        <v>43</v>
      </c>
      <c r="G710" s="7"/>
      <c r="H710" s="5" t="str">
        <f aca="false">IF($G710="","",IF(LOWER(TRIM($G710))=LOWER(TRIM($F710)),"Match","Mismatch"))</f>
        <v/>
      </c>
      <c r="I710" s="5" t="str">
        <f aca="false">IF($G710="","",IF(LOWER(TRIM($G710))=LOWER(TRIM($E710)),"Match","Mismatch"))</f>
        <v/>
      </c>
      <c r="J710" s="6"/>
    </row>
    <row r="711" customFormat="false" ht="15" hidden="false" customHeight="false" outlineLevel="0" collapsed="false">
      <c r="A711" s="5" t="s">
        <v>382</v>
      </c>
      <c r="B711" s="5" t="s">
        <v>474</v>
      </c>
      <c r="C711" s="5" t="s">
        <v>39</v>
      </c>
      <c r="D711" s="6" t="s">
        <v>47</v>
      </c>
      <c r="E711" s="5"/>
      <c r="F711" s="5" t="s">
        <v>43</v>
      </c>
      <c r="G711" s="7"/>
      <c r="H711" s="5" t="str">
        <f aca="false">IF($G711="","",IF(LOWER(TRIM($G711))=LOWER(TRIM($F711)),"Match","Mismatch"))</f>
        <v/>
      </c>
      <c r="I711" s="5" t="str">
        <f aca="false">IF($G711="","",IF(LOWER(TRIM($G711))=LOWER(TRIM($E711)),"Match","Mismatch"))</f>
        <v/>
      </c>
      <c r="J711" s="6"/>
    </row>
    <row r="712" customFormat="false" ht="15" hidden="false" customHeight="false" outlineLevel="0" collapsed="false">
      <c r="A712" s="5" t="s">
        <v>382</v>
      </c>
      <c r="B712" s="5" t="s">
        <v>474</v>
      </c>
      <c r="C712" s="5" t="s">
        <v>39</v>
      </c>
      <c r="D712" s="6" t="s">
        <v>48</v>
      </c>
      <c r="E712" s="5" t="s">
        <v>46</v>
      </c>
      <c r="F712" s="5" t="s">
        <v>41</v>
      </c>
      <c r="G712" s="7"/>
      <c r="H712" s="5" t="str">
        <f aca="false">IF($G712="","",IF(LOWER(TRIM($G712))=LOWER(TRIM($F712)),"Match","Mismatch"))</f>
        <v/>
      </c>
      <c r="I712" s="5" t="str">
        <f aca="false">IF($G712="","",IF(LOWER(TRIM($G712))=LOWER(TRIM($E712)),"Match","Mismatch"))</f>
        <v/>
      </c>
      <c r="J712" s="6"/>
    </row>
    <row r="713" customFormat="false" ht="23.85" hidden="false" customHeight="false" outlineLevel="0" collapsed="false">
      <c r="A713" s="5" t="s">
        <v>382</v>
      </c>
      <c r="B713" s="5" t="s">
        <v>474</v>
      </c>
      <c r="C713" s="5" t="s">
        <v>39</v>
      </c>
      <c r="D713" s="6" t="s">
        <v>50</v>
      </c>
      <c r="E713" s="5"/>
      <c r="F713" s="5" t="s">
        <v>43</v>
      </c>
      <c r="G713" s="7"/>
      <c r="H713" s="5" t="str">
        <f aca="false">IF($G713="","",IF(LOWER(TRIM($G713))=LOWER(TRIM($F713)),"Match","Mismatch"))</f>
        <v/>
      </c>
      <c r="I713" s="5" t="str">
        <f aca="false">IF($G713="","",IF(LOWER(TRIM($G713))=LOWER(TRIM($E713)),"Match","Mismatch"))</f>
        <v/>
      </c>
      <c r="J713" s="6"/>
    </row>
    <row r="714" customFormat="false" ht="23.85" hidden="false" customHeight="false" outlineLevel="0" collapsed="false">
      <c r="A714" s="5" t="s">
        <v>382</v>
      </c>
      <c r="B714" s="5" t="s">
        <v>474</v>
      </c>
      <c r="C714" s="5" t="s">
        <v>39</v>
      </c>
      <c r="D714" s="6" t="s">
        <v>56</v>
      </c>
      <c r="E714" s="5"/>
      <c r="F714" s="5" t="s">
        <v>43</v>
      </c>
      <c r="G714" s="7"/>
      <c r="H714" s="5" t="str">
        <f aca="false">IF($G714="","",IF(LOWER(TRIM($G714))=LOWER(TRIM($F714)),"Match","Mismatch"))</f>
        <v/>
      </c>
      <c r="I714" s="5" t="str">
        <f aca="false">IF($G714="","",IF(LOWER(TRIM($G714))=LOWER(TRIM($E714)),"Match","Mismatch"))</f>
        <v/>
      </c>
      <c r="J714" s="6"/>
    </row>
    <row r="715" customFormat="false" ht="15" hidden="false" customHeight="false" outlineLevel="0" collapsed="false">
      <c r="A715" s="5" t="s">
        <v>382</v>
      </c>
      <c r="B715" s="5" t="s">
        <v>474</v>
      </c>
      <c r="C715" s="5" t="s">
        <v>39</v>
      </c>
      <c r="D715" s="6" t="s">
        <v>58</v>
      </c>
      <c r="E715" s="5"/>
      <c r="F715" s="5" t="s">
        <v>43</v>
      </c>
      <c r="G715" s="7"/>
      <c r="H715" s="5" t="str">
        <f aca="false">IF($G715="","",IF(LOWER(TRIM($G715))=LOWER(TRIM($F715)),"Match","Mismatch"))</f>
        <v/>
      </c>
      <c r="I715" s="5" t="str">
        <f aca="false">IF($G715="","",IF(LOWER(TRIM($G715))=LOWER(TRIM($E715)),"Match","Mismatch"))</f>
        <v/>
      </c>
      <c r="J715" s="6"/>
    </row>
    <row r="716" customFormat="false" ht="15" hidden="false" customHeight="false" outlineLevel="0" collapsed="false">
      <c r="A716" s="5" t="s">
        <v>382</v>
      </c>
      <c r="B716" s="5" t="s">
        <v>474</v>
      </c>
      <c r="C716" s="5" t="s">
        <v>59</v>
      </c>
      <c r="D716" s="6" t="s">
        <v>60</v>
      </c>
      <c r="E716" s="5"/>
      <c r="F716" s="5" t="s">
        <v>29</v>
      </c>
      <c r="G716" s="7"/>
      <c r="H716" s="5" t="str">
        <f aca="false">IF($G716="","",IF(LOWER(TRIM($G716))=LOWER(TRIM($F716)),"Match","Mismatch"))</f>
        <v/>
      </c>
      <c r="I716" s="5" t="str">
        <f aca="false">IF($G716="","",IF(LOWER(TRIM($G716))=LOWER(TRIM($E716)),"Match","Mismatch"))</f>
        <v/>
      </c>
      <c r="J716" s="6"/>
    </row>
    <row r="717" customFormat="false" ht="15" hidden="false" customHeight="false" outlineLevel="0" collapsed="false">
      <c r="A717" s="5" t="s">
        <v>382</v>
      </c>
      <c r="B717" s="5" t="s">
        <v>474</v>
      </c>
      <c r="C717" s="5" t="s">
        <v>59</v>
      </c>
      <c r="D717" s="6" t="s">
        <v>63</v>
      </c>
      <c r="E717" s="5" t="s">
        <v>475</v>
      </c>
      <c r="F717" s="5" t="s">
        <v>476</v>
      </c>
      <c r="G717" s="7"/>
      <c r="H717" s="5" t="str">
        <f aca="false">IF($G717="","",IF(LOWER(TRIM($G717))=LOWER(TRIM($F717)),"Match","Mismatch"))</f>
        <v/>
      </c>
      <c r="I717" s="5" t="str">
        <f aca="false">IF($G717="","",IF(LOWER(TRIM($G717))=LOWER(TRIM($E717)),"Match","Mismatch"))</f>
        <v/>
      </c>
      <c r="J717" s="6"/>
    </row>
    <row r="718" customFormat="false" ht="15" hidden="false" customHeight="false" outlineLevel="0" collapsed="false">
      <c r="A718" s="5" t="s">
        <v>382</v>
      </c>
      <c r="B718" s="5" t="s">
        <v>474</v>
      </c>
      <c r="C718" s="5" t="s">
        <v>67</v>
      </c>
      <c r="D718" s="6" t="s">
        <v>68</v>
      </c>
      <c r="E718" s="5"/>
      <c r="F718" s="5" t="s">
        <v>417</v>
      </c>
      <c r="G718" s="7"/>
      <c r="H718" s="5" t="str">
        <f aca="false">IF($G718="","",IF(LOWER(TRIM($G718))=LOWER(TRIM($F718)),"Match","Mismatch"))</f>
        <v/>
      </c>
      <c r="I718" s="5" t="str">
        <f aca="false">IF($G718="","",IF(LOWER(TRIM($G718))=LOWER(TRIM($E718)),"Match","Mismatch"))</f>
        <v/>
      </c>
      <c r="J718" s="6"/>
    </row>
    <row r="719" customFormat="false" ht="15" hidden="false" customHeight="false" outlineLevel="0" collapsed="false">
      <c r="A719" s="5" t="s">
        <v>382</v>
      </c>
      <c r="B719" s="5" t="s">
        <v>474</v>
      </c>
      <c r="C719" s="5" t="s">
        <v>70</v>
      </c>
      <c r="D719" s="6" t="s">
        <v>71</v>
      </c>
      <c r="E719" s="5" t="s">
        <v>477</v>
      </c>
      <c r="F719" s="5" t="s">
        <v>478</v>
      </c>
      <c r="G719" s="7"/>
      <c r="H719" s="5" t="str">
        <f aca="false">IF($G719="","",IF(LOWER(TRIM($G719))=LOWER(TRIM($F719)),"Match","Mismatch"))</f>
        <v/>
      </c>
      <c r="I719" s="5" t="str">
        <f aca="false">IF($G719="","",IF(LOWER(TRIM($G719))=LOWER(TRIM($E719)),"Match","Mismatch"))</f>
        <v/>
      </c>
      <c r="J719" s="6"/>
    </row>
    <row r="720" customFormat="false" ht="15" hidden="false" customHeight="false" outlineLevel="0" collapsed="false">
      <c r="A720" s="5" t="s">
        <v>382</v>
      </c>
      <c r="B720" s="5" t="s">
        <v>474</v>
      </c>
      <c r="C720" s="5" t="s">
        <v>70</v>
      </c>
      <c r="D720" s="6" t="s">
        <v>73</v>
      </c>
      <c r="E720" s="5" t="s">
        <v>479</v>
      </c>
      <c r="F720" s="5" t="s">
        <v>480</v>
      </c>
      <c r="G720" s="7"/>
      <c r="H720" s="5" t="str">
        <f aca="false">IF($G720="","",IF(LOWER(TRIM($G720))=LOWER(TRIM($F720)),"Match","Mismatch"))</f>
        <v/>
      </c>
      <c r="I720" s="5" t="str">
        <f aca="false">IF($G720="","",IF(LOWER(TRIM($G720))=LOWER(TRIM($E720)),"Match","Mismatch"))</f>
        <v/>
      </c>
      <c r="J720" s="6"/>
    </row>
    <row r="721" customFormat="false" ht="15" hidden="false" customHeight="false" outlineLevel="0" collapsed="false">
      <c r="A721" s="5" t="s">
        <v>382</v>
      </c>
      <c r="B721" s="5" t="s">
        <v>474</v>
      </c>
      <c r="C721" s="5" t="s">
        <v>70</v>
      </c>
      <c r="D721" s="6" t="s">
        <v>77</v>
      </c>
      <c r="E721" s="5" t="s">
        <v>481</v>
      </c>
      <c r="F721" s="5" t="s">
        <v>482</v>
      </c>
      <c r="G721" s="7"/>
      <c r="H721" s="5" t="str">
        <f aca="false">IF($G721="","",IF(LOWER(TRIM($G721))=LOWER(TRIM($F721)),"Match","Mismatch"))</f>
        <v/>
      </c>
      <c r="I721" s="5" t="str">
        <f aca="false">IF($G721="","",IF(LOWER(TRIM($G721))=LOWER(TRIM($E721)),"Match","Mismatch"))</f>
        <v/>
      </c>
      <c r="J721" s="6"/>
    </row>
    <row r="722" customFormat="false" ht="15" hidden="false" customHeight="false" outlineLevel="0" collapsed="false">
      <c r="A722" s="5" t="s">
        <v>382</v>
      </c>
      <c r="B722" s="5" t="s">
        <v>474</v>
      </c>
      <c r="C722" s="5" t="s">
        <v>70</v>
      </c>
      <c r="D722" s="6" t="s">
        <v>80</v>
      </c>
      <c r="E722" s="5" t="s">
        <v>483</v>
      </c>
      <c r="F722" s="5" t="s">
        <v>484</v>
      </c>
      <c r="G722" s="7"/>
      <c r="H722" s="5" t="str">
        <f aca="false">IF($G722="","",IF(LOWER(TRIM($G722))=LOWER(TRIM($F722)),"Match","Mismatch"))</f>
        <v/>
      </c>
      <c r="I722" s="5" t="str">
        <f aca="false">IF($G722="","",IF(LOWER(TRIM($G722))=LOWER(TRIM($E722)),"Match","Mismatch"))</f>
        <v/>
      </c>
      <c r="J722" s="6"/>
    </row>
    <row r="723" customFormat="false" ht="15" hidden="false" customHeight="false" outlineLevel="0" collapsed="false">
      <c r="A723" s="5" t="s">
        <v>382</v>
      </c>
      <c r="B723" s="5" t="s">
        <v>474</v>
      </c>
      <c r="C723" s="5" t="s">
        <v>70</v>
      </c>
      <c r="D723" s="6" t="s">
        <v>84</v>
      </c>
      <c r="E723" s="5" t="s">
        <v>457</v>
      </c>
      <c r="F723" s="5" t="s">
        <v>428</v>
      </c>
      <c r="G723" s="7"/>
      <c r="H723" s="5" t="str">
        <f aca="false">IF($G723="","",IF(LOWER(TRIM($G723))=LOWER(TRIM($F723)),"Match","Mismatch"))</f>
        <v/>
      </c>
      <c r="I723" s="5" t="str">
        <f aca="false">IF($G723="","",IF(LOWER(TRIM($G723))=LOWER(TRIM($E723)),"Match","Mismatch"))</f>
        <v/>
      </c>
      <c r="J723" s="6"/>
    </row>
    <row r="724" customFormat="false" ht="23.85" hidden="false" customHeight="false" outlineLevel="0" collapsed="false">
      <c r="A724" s="5" t="s">
        <v>382</v>
      </c>
      <c r="B724" s="5" t="s">
        <v>485</v>
      </c>
      <c r="C724" s="5" t="s">
        <v>27</v>
      </c>
      <c r="D724" s="6" t="s">
        <v>30</v>
      </c>
      <c r="E724" s="5" t="s">
        <v>29</v>
      </c>
      <c r="F724" s="5"/>
      <c r="G724" s="7"/>
      <c r="H724" s="5" t="str">
        <f aca="false">IF($G724="","",IF(LOWER(TRIM($G724))=LOWER(TRIM($F724)),"Match","Mismatch"))</f>
        <v/>
      </c>
      <c r="I724" s="5" t="str">
        <f aca="false">IF($G724="","",IF(LOWER(TRIM($G724))=LOWER(TRIM($E724)),"Match","Mismatch"))</f>
        <v/>
      </c>
      <c r="J724" s="6"/>
    </row>
    <row r="725" customFormat="false" ht="15" hidden="false" customHeight="false" outlineLevel="0" collapsed="false">
      <c r="A725" s="5" t="s">
        <v>382</v>
      </c>
      <c r="B725" s="5" t="s">
        <v>485</v>
      </c>
      <c r="C725" s="5" t="s">
        <v>27</v>
      </c>
      <c r="D725" s="6" t="s">
        <v>35</v>
      </c>
      <c r="E725" s="5" t="s">
        <v>486</v>
      </c>
      <c r="F725" s="5" t="s">
        <v>487</v>
      </c>
      <c r="G725" s="7"/>
      <c r="H725" s="5" t="str">
        <f aca="false">IF($G725="","",IF(LOWER(TRIM($G725))=LOWER(TRIM($F725)),"Match","Mismatch"))</f>
        <v/>
      </c>
      <c r="I725" s="5" t="str">
        <f aca="false">IF($G725="","",IF(LOWER(TRIM($G725))=LOWER(TRIM($E725)),"Match","Mismatch"))</f>
        <v/>
      </c>
      <c r="J725" s="6"/>
    </row>
    <row r="726" customFormat="false" ht="23.85" hidden="false" customHeight="false" outlineLevel="0" collapsed="false">
      <c r="A726" s="5" t="s">
        <v>382</v>
      </c>
      <c r="B726" s="5" t="s">
        <v>485</v>
      </c>
      <c r="C726" s="5" t="s">
        <v>27</v>
      </c>
      <c r="D726" s="6" t="s">
        <v>37</v>
      </c>
      <c r="E726" s="5" t="s">
        <v>29</v>
      </c>
      <c r="F726" s="5" t="s">
        <v>31</v>
      </c>
      <c r="G726" s="7"/>
      <c r="H726" s="5" t="str">
        <f aca="false">IF($G726="","",IF(LOWER(TRIM($G726))=LOWER(TRIM($F726)),"Match","Mismatch"))</f>
        <v/>
      </c>
      <c r="I726" s="5" t="str">
        <f aca="false">IF($G726="","",IF(LOWER(TRIM($G726))=LOWER(TRIM($E726)),"Match","Mismatch"))</f>
        <v/>
      </c>
      <c r="J726" s="6"/>
    </row>
    <row r="727" customFormat="false" ht="15" hidden="false" customHeight="false" outlineLevel="0" collapsed="false">
      <c r="A727" s="5" t="s">
        <v>382</v>
      </c>
      <c r="B727" s="5" t="s">
        <v>485</v>
      </c>
      <c r="C727" s="5" t="s">
        <v>39</v>
      </c>
      <c r="D727" s="6" t="s">
        <v>45</v>
      </c>
      <c r="E727" s="5" t="s">
        <v>43</v>
      </c>
      <c r="F727" s="5" t="s">
        <v>46</v>
      </c>
      <c r="G727" s="7"/>
      <c r="H727" s="5" t="str">
        <f aca="false">IF($G727="","",IF(LOWER(TRIM($G727))=LOWER(TRIM($F727)),"Match","Mismatch"))</f>
        <v/>
      </c>
      <c r="I727" s="5" t="str">
        <f aca="false">IF($G727="","",IF(LOWER(TRIM($G727))=LOWER(TRIM($E727)),"Match","Mismatch"))</f>
        <v/>
      </c>
      <c r="J727" s="6"/>
    </row>
    <row r="728" customFormat="false" ht="15" hidden="false" customHeight="false" outlineLevel="0" collapsed="false">
      <c r="A728" s="5" t="s">
        <v>382</v>
      </c>
      <c r="B728" s="5" t="s">
        <v>485</v>
      </c>
      <c r="C728" s="5" t="s">
        <v>39</v>
      </c>
      <c r="D728" s="6" t="s">
        <v>51</v>
      </c>
      <c r="E728" s="5" t="s">
        <v>43</v>
      </c>
      <c r="F728" s="5" t="s">
        <v>46</v>
      </c>
      <c r="G728" s="7"/>
      <c r="H728" s="5" t="str">
        <f aca="false">IF($G728="","",IF(LOWER(TRIM($G728))=LOWER(TRIM($F728)),"Match","Mismatch"))</f>
        <v/>
      </c>
      <c r="I728" s="5" t="str">
        <f aca="false">IF($G728="","",IF(LOWER(TRIM($G728))=LOWER(TRIM($E728)),"Match","Mismatch"))</f>
        <v/>
      </c>
      <c r="J728" s="6"/>
    </row>
    <row r="729" customFormat="false" ht="15" hidden="false" customHeight="false" outlineLevel="0" collapsed="false">
      <c r="A729" s="5" t="s">
        <v>382</v>
      </c>
      <c r="B729" s="5" t="s">
        <v>485</v>
      </c>
      <c r="C729" s="5" t="s">
        <v>39</v>
      </c>
      <c r="D729" s="6" t="s">
        <v>52</v>
      </c>
      <c r="E729" s="5" t="s">
        <v>43</v>
      </c>
      <c r="F729" s="5" t="s">
        <v>41</v>
      </c>
      <c r="G729" s="7"/>
      <c r="H729" s="5" t="str">
        <f aca="false">IF($G729="","",IF(LOWER(TRIM($G729))=LOWER(TRIM($F729)),"Match","Mismatch"))</f>
        <v/>
      </c>
      <c r="I729" s="5" t="str">
        <f aca="false">IF($G729="","",IF(LOWER(TRIM($G729))=LOWER(TRIM($E729)),"Match","Mismatch"))</f>
        <v/>
      </c>
      <c r="J729" s="6"/>
    </row>
    <row r="730" customFormat="false" ht="15" hidden="false" customHeight="false" outlineLevel="0" collapsed="false">
      <c r="A730" s="5" t="s">
        <v>382</v>
      </c>
      <c r="B730" s="5" t="s">
        <v>485</v>
      </c>
      <c r="C730" s="5" t="s">
        <v>39</v>
      </c>
      <c r="D730" s="6" t="s">
        <v>53</v>
      </c>
      <c r="E730" s="5" t="s">
        <v>43</v>
      </c>
      <c r="F730" s="5" t="s">
        <v>55</v>
      </c>
      <c r="G730" s="7"/>
      <c r="H730" s="5" t="str">
        <f aca="false">IF($G730="","",IF(LOWER(TRIM($G730))=LOWER(TRIM($F730)),"Match","Mismatch"))</f>
        <v/>
      </c>
      <c r="I730" s="5" t="str">
        <f aca="false">IF($G730="","",IF(LOWER(TRIM($G730))=LOWER(TRIM($E730)),"Match","Mismatch"))</f>
        <v/>
      </c>
      <c r="J730" s="6"/>
    </row>
    <row r="731" customFormat="false" ht="15" hidden="false" customHeight="false" outlineLevel="0" collapsed="false">
      <c r="A731" s="5" t="s">
        <v>382</v>
      </c>
      <c r="B731" s="5" t="s">
        <v>485</v>
      </c>
      <c r="C731" s="5" t="s">
        <v>39</v>
      </c>
      <c r="D731" s="6" t="s">
        <v>54</v>
      </c>
      <c r="E731" s="5" t="s">
        <v>43</v>
      </c>
      <c r="F731" s="5" t="s">
        <v>41</v>
      </c>
      <c r="G731" s="7"/>
      <c r="H731" s="5" t="str">
        <f aca="false">IF($G731="","",IF(LOWER(TRIM($G731))=LOWER(TRIM($F731)),"Match","Mismatch"))</f>
        <v/>
      </c>
      <c r="I731" s="5" t="str">
        <f aca="false">IF($G731="","",IF(LOWER(TRIM($G731))=LOWER(TRIM($E731)),"Match","Mismatch"))</f>
        <v/>
      </c>
      <c r="J731" s="6"/>
    </row>
    <row r="732" customFormat="false" ht="15" hidden="false" customHeight="false" outlineLevel="0" collapsed="false">
      <c r="A732" s="5" t="s">
        <v>382</v>
      </c>
      <c r="B732" s="5" t="s">
        <v>485</v>
      </c>
      <c r="C732" s="5" t="s">
        <v>59</v>
      </c>
      <c r="D732" s="6" t="s">
        <v>60</v>
      </c>
      <c r="E732" s="5" t="s">
        <v>31</v>
      </c>
      <c r="F732" s="5"/>
      <c r="G732" s="7"/>
      <c r="H732" s="5" t="str">
        <f aca="false">IF($G732="","",IF(LOWER(TRIM($G732))=LOWER(TRIM($F732)),"Match","Mismatch"))</f>
        <v/>
      </c>
      <c r="I732" s="5" t="str">
        <f aca="false">IF($G732="","",IF(LOWER(TRIM($G732))=LOWER(TRIM($E732)),"Match","Mismatch"))</f>
        <v/>
      </c>
      <c r="J732" s="6"/>
    </row>
    <row r="733" customFormat="false" ht="15" hidden="false" customHeight="false" outlineLevel="0" collapsed="false">
      <c r="A733" s="5" t="s">
        <v>382</v>
      </c>
      <c r="B733" s="5" t="s">
        <v>485</v>
      </c>
      <c r="C733" s="5" t="s">
        <v>59</v>
      </c>
      <c r="D733" s="6" t="s">
        <v>63</v>
      </c>
      <c r="E733" s="5" t="s">
        <v>488</v>
      </c>
      <c r="F733" s="5" t="s">
        <v>489</v>
      </c>
      <c r="G733" s="7"/>
      <c r="H733" s="5" t="str">
        <f aca="false">IF($G733="","",IF(LOWER(TRIM($G733))=LOWER(TRIM($F733)),"Match","Mismatch"))</f>
        <v/>
      </c>
      <c r="I733" s="5" t="str">
        <f aca="false">IF($G733="","",IF(LOWER(TRIM($G733))=LOWER(TRIM($E733)),"Match","Mismatch"))</f>
        <v/>
      </c>
      <c r="J733" s="6"/>
    </row>
    <row r="734" customFormat="false" ht="15" hidden="false" customHeight="false" outlineLevel="0" collapsed="false">
      <c r="A734" s="5" t="s">
        <v>382</v>
      </c>
      <c r="B734" s="5" t="s">
        <v>485</v>
      </c>
      <c r="C734" s="5" t="s">
        <v>70</v>
      </c>
      <c r="D734" s="6" t="s">
        <v>71</v>
      </c>
      <c r="E734" s="5" t="s">
        <v>490</v>
      </c>
      <c r="F734" s="5" t="s">
        <v>491</v>
      </c>
      <c r="G734" s="7"/>
      <c r="H734" s="5" t="str">
        <f aca="false">IF($G734="","",IF(LOWER(TRIM($G734))=LOWER(TRIM($F734)),"Match","Mismatch"))</f>
        <v/>
      </c>
      <c r="I734" s="5" t="str">
        <f aca="false">IF($G734="","",IF(LOWER(TRIM($G734))=LOWER(TRIM($E734)),"Match","Mismatch"))</f>
        <v/>
      </c>
      <c r="J734" s="6"/>
    </row>
    <row r="735" customFormat="false" ht="15" hidden="false" customHeight="false" outlineLevel="0" collapsed="false">
      <c r="A735" s="5" t="s">
        <v>382</v>
      </c>
      <c r="B735" s="5" t="s">
        <v>485</v>
      </c>
      <c r="C735" s="5" t="s">
        <v>70</v>
      </c>
      <c r="D735" s="6" t="s">
        <v>73</v>
      </c>
      <c r="E735" s="5" t="s">
        <v>492</v>
      </c>
      <c r="F735" s="5" t="s">
        <v>493</v>
      </c>
      <c r="G735" s="7"/>
      <c r="H735" s="5" t="str">
        <f aca="false">IF($G735="","",IF(LOWER(TRIM($G735))=LOWER(TRIM($F735)),"Match","Mismatch"))</f>
        <v/>
      </c>
      <c r="I735" s="5" t="str">
        <f aca="false">IF($G735="","",IF(LOWER(TRIM($G735))=LOWER(TRIM($E735)),"Match","Mismatch"))</f>
        <v/>
      </c>
      <c r="J735" s="6"/>
    </row>
    <row r="736" customFormat="false" ht="15" hidden="false" customHeight="false" outlineLevel="0" collapsed="false">
      <c r="A736" s="5" t="s">
        <v>382</v>
      </c>
      <c r="B736" s="5" t="s">
        <v>485</v>
      </c>
      <c r="C736" s="5" t="s">
        <v>70</v>
      </c>
      <c r="D736" s="6" t="s">
        <v>75</v>
      </c>
      <c r="E736" s="5" t="s">
        <v>494</v>
      </c>
      <c r="F736" s="5" t="s">
        <v>495</v>
      </c>
      <c r="G736" s="7"/>
      <c r="H736" s="5" t="str">
        <f aca="false">IF($G736="","",IF(LOWER(TRIM($G736))=LOWER(TRIM($F736)),"Match","Mismatch"))</f>
        <v/>
      </c>
      <c r="I736" s="5" t="str">
        <f aca="false">IF($G736="","",IF(LOWER(TRIM($G736))=LOWER(TRIM($E736)),"Match","Mismatch"))</f>
        <v/>
      </c>
      <c r="J736" s="6"/>
    </row>
    <row r="737" customFormat="false" ht="15" hidden="false" customHeight="false" outlineLevel="0" collapsed="false">
      <c r="A737" s="5" t="s">
        <v>382</v>
      </c>
      <c r="B737" s="5" t="s">
        <v>485</v>
      </c>
      <c r="C737" s="5" t="s">
        <v>70</v>
      </c>
      <c r="D737" s="6" t="s">
        <v>77</v>
      </c>
      <c r="E737" s="5" t="s">
        <v>496</v>
      </c>
      <c r="F737" s="5" t="s">
        <v>497</v>
      </c>
      <c r="G737" s="7"/>
      <c r="H737" s="5" t="str">
        <f aca="false">IF($G737="","",IF(LOWER(TRIM($G737))=LOWER(TRIM($F737)),"Match","Mismatch"))</f>
        <v/>
      </c>
      <c r="I737" s="5" t="str">
        <f aca="false">IF($G737="","",IF(LOWER(TRIM($G737))=LOWER(TRIM($E737)),"Match","Mismatch"))</f>
        <v/>
      </c>
      <c r="J737" s="6"/>
    </row>
    <row r="738" customFormat="false" ht="15" hidden="false" customHeight="false" outlineLevel="0" collapsed="false">
      <c r="A738" s="5" t="s">
        <v>382</v>
      </c>
      <c r="B738" s="5" t="s">
        <v>485</v>
      </c>
      <c r="C738" s="5" t="s">
        <v>70</v>
      </c>
      <c r="D738" s="6" t="s">
        <v>80</v>
      </c>
      <c r="E738" s="5" t="s">
        <v>498</v>
      </c>
      <c r="F738" s="5" t="s">
        <v>188</v>
      </c>
      <c r="G738" s="7"/>
      <c r="H738" s="5" t="str">
        <f aca="false">IF($G738="","",IF(LOWER(TRIM($G738))=LOWER(TRIM($F738)),"Match","Mismatch"))</f>
        <v/>
      </c>
      <c r="I738" s="5" t="str">
        <f aca="false">IF($G738="","",IF(LOWER(TRIM($G738))=LOWER(TRIM($E738)),"Match","Mismatch"))</f>
        <v/>
      </c>
      <c r="J738" s="6"/>
    </row>
    <row r="739" customFormat="false" ht="15" hidden="false" customHeight="false" outlineLevel="0" collapsed="false">
      <c r="A739" s="5" t="s">
        <v>382</v>
      </c>
      <c r="B739" s="5" t="s">
        <v>485</v>
      </c>
      <c r="C739" s="5" t="s">
        <v>70</v>
      </c>
      <c r="D739" s="6" t="s">
        <v>82</v>
      </c>
      <c r="E739" s="5" t="s">
        <v>499</v>
      </c>
      <c r="F739" s="5" t="s">
        <v>500</v>
      </c>
      <c r="G739" s="7"/>
      <c r="H739" s="5" t="str">
        <f aca="false">IF($G739="","",IF(LOWER(TRIM($G739))=LOWER(TRIM($F739)),"Match","Mismatch"))</f>
        <v/>
      </c>
      <c r="I739" s="5" t="str">
        <f aca="false">IF($G739="","",IF(LOWER(TRIM($G739))=LOWER(TRIM($E739)),"Match","Mismatch"))</f>
        <v/>
      </c>
      <c r="J739" s="6"/>
    </row>
    <row r="740" customFormat="false" ht="15" hidden="false" customHeight="false" outlineLevel="0" collapsed="false">
      <c r="A740" s="5" t="s">
        <v>382</v>
      </c>
      <c r="B740" s="5" t="s">
        <v>485</v>
      </c>
      <c r="C740" s="5" t="s">
        <v>70</v>
      </c>
      <c r="D740" s="6" t="s">
        <v>84</v>
      </c>
      <c r="E740" s="5" t="s">
        <v>501</v>
      </c>
      <c r="F740" s="5" t="s">
        <v>502</v>
      </c>
      <c r="G740" s="7"/>
      <c r="H740" s="5" t="str">
        <f aca="false">IF($G740="","",IF(LOWER(TRIM($G740))=LOWER(TRIM($F740)),"Match","Mismatch"))</f>
        <v/>
      </c>
      <c r="I740" s="5" t="str">
        <f aca="false">IF($G740="","",IF(LOWER(TRIM($G740))=LOWER(TRIM($E740)),"Match","Mismatch"))</f>
        <v/>
      </c>
      <c r="J740" s="6"/>
    </row>
    <row r="741" customFormat="false" ht="15" hidden="false" customHeight="false" outlineLevel="0" collapsed="false">
      <c r="A741" s="5" t="s">
        <v>382</v>
      </c>
      <c r="B741" s="5" t="s">
        <v>485</v>
      </c>
      <c r="C741" s="5" t="s">
        <v>70</v>
      </c>
      <c r="D741" s="6" t="s">
        <v>86</v>
      </c>
      <c r="E741" s="5" t="s">
        <v>503</v>
      </c>
      <c r="F741" s="5" t="s">
        <v>504</v>
      </c>
      <c r="G741" s="7"/>
      <c r="H741" s="5" t="str">
        <f aca="false">IF($G741="","",IF(LOWER(TRIM($G741))=LOWER(TRIM($F741)),"Match","Mismatch"))</f>
        <v/>
      </c>
      <c r="I741" s="5" t="str">
        <f aca="false">IF($G741="","",IF(LOWER(TRIM($G741))=LOWER(TRIM($E741)),"Match","Mismatch"))</f>
        <v/>
      </c>
      <c r="J741" s="6"/>
    </row>
    <row r="742" customFormat="false" ht="23.85" hidden="false" customHeight="false" outlineLevel="0" collapsed="false">
      <c r="A742" s="5" t="s">
        <v>382</v>
      </c>
      <c r="B742" s="5" t="s">
        <v>505</v>
      </c>
      <c r="C742" s="5" t="s">
        <v>27</v>
      </c>
      <c r="D742" s="6" t="s">
        <v>37</v>
      </c>
      <c r="E742" s="5"/>
      <c r="F742" s="5" t="s">
        <v>29</v>
      </c>
      <c r="G742" s="7"/>
      <c r="H742" s="5" t="str">
        <f aca="false">IF($G742="","",IF(LOWER(TRIM($G742))=LOWER(TRIM($F742)),"Match","Mismatch"))</f>
        <v/>
      </c>
      <c r="I742" s="5" t="str">
        <f aca="false">IF($G742="","",IF(LOWER(TRIM($G742))=LOWER(TRIM($E742)),"Match","Mismatch"))</f>
        <v/>
      </c>
      <c r="J742" s="6"/>
    </row>
    <row r="743" customFormat="false" ht="15" hidden="false" customHeight="false" outlineLevel="0" collapsed="false">
      <c r="A743" s="5" t="s">
        <v>382</v>
      </c>
      <c r="B743" s="5" t="s">
        <v>505</v>
      </c>
      <c r="C743" s="5" t="s">
        <v>39</v>
      </c>
      <c r="D743" s="6" t="s">
        <v>49</v>
      </c>
      <c r="E743" s="5" t="s">
        <v>46</v>
      </c>
      <c r="F743" s="5" t="s">
        <v>41</v>
      </c>
      <c r="G743" s="7"/>
      <c r="H743" s="5" t="str">
        <f aca="false">IF($G743="","",IF(LOWER(TRIM($G743))=LOWER(TRIM($F743)),"Match","Mismatch"))</f>
        <v/>
      </c>
      <c r="I743" s="5" t="str">
        <f aca="false">IF($G743="","",IF(LOWER(TRIM($G743))=LOWER(TRIM($E743)),"Match","Mismatch"))</f>
        <v/>
      </c>
      <c r="J743" s="6"/>
    </row>
    <row r="744" customFormat="false" ht="15" hidden="false" customHeight="false" outlineLevel="0" collapsed="false">
      <c r="A744" s="5" t="s">
        <v>382</v>
      </c>
      <c r="B744" s="5" t="s">
        <v>505</v>
      </c>
      <c r="C744" s="5" t="s">
        <v>39</v>
      </c>
      <c r="D744" s="6" t="s">
        <v>54</v>
      </c>
      <c r="E744" s="5" t="s">
        <v>46</v>
      </c>
      <c r="F744" s="5" t="s">
        <v>55</v>
      </c>
      <c r="G744" s="7"/>
      <c r="H744" s="5" t="str">
        <f aca="false">IF($G744="","",IF(LOWER(TRIM($G744))=LOWER(TRIM($F744)),"Match","Mismatch"))</f>
        <v/>
      </c>
      <c r="I744" s="5" t="str">
        <f aca="false">IF($G744="","",IF(LOWER(TRIM($G744))=LOWER(TRIM($E744)),"Match","Mismatch"))</f>
        <v/>
      </c>
      <c r="J744" s="6"/>
    </row>
    <row r="745" customFormat="false" ht="15" hidden="false" customHeight="false" outlineLevel="0" collapsed="false">
      <c r="A745" s="5" t="s">
        <v>382</v>
      </c>
      <c r="B745" s="5" t="s">
        <v>505</v>
      </c>
      <c r="C745" s="5" t="s">
        <v>39</v>
      </c>
      <c r="D745" s="6" t="s">
        <v>58</v>
      </c>
      <c r="E745" s="5" t="s">
        <v>55</v>
      </c>
      <c r="F745" s="5" t="s">
        <v>43</v>
      </c>
      <c r="G745" s="7"/>
      <c r="H745" s="5" t="str">
        <f aca="false">IF($G745="","",IF(LOWER(TRIM($G745))=LOWER(TRIM($F745)),"Match","Mismatch"))</f>
        <v/>
      </c>
      <c r="I745" s="5" t="str">
        <f aca="false">IF($G745="","",IF(LOWER(TRIM($G745))=LOWER(TRIM($E745)),"Match","Mismatch"))</f>
        <v/>
      </c>
      <c r="J745" s="6"/>
    </row>
    <row r="746" customFormat="false" ht="23.85" hidden="false" customHeight="false" outlineLevel="0" collapsed="false">
      <c r="A746" s="5" t="s">
        <v>382</v>
      </c>
      <c r="B746" s="5" t="s">
        <v>505</v>
      </c>
      <c r="C746" s="5" t="s">
        <v>59</v>
      </c>
      <c r="D746" s="6" t="s">
        <v>61</v>
      </c>
      <c r="E746" s="5"/>
      <c r="F746" s="5" t="s">
        <v>31</v>
      </c>
      <c r="G746" s="7"/>
      <c r="H746" s="5" t="str">
        <f aca="false">IF($G746="","",IF(LOWER(TRIM($G746))=LOWER(TRIM($F746)),"Match","Mismatch"))</f>
        <v/>
      </c>
      <c r="I746" s="5" t="str">
        <f aca="false">IF($G746="","",IF(LOWER(TRIM($G746))=LOWER(TRIM($E746)),"Match","Mismatch"))</f>
        <v/>
      </c>
      <c r="J746" s="6"/>
    </row>
    <row r="747" customFormat="false" ht="15" hidden="false" customHeight="false" outlineLevel="0" collapsed="false">
      <c r="A747" s="5" t="s">
        <v>382</v>
      </c>
      <c r="B747" s="5" t="s">
        <v>505</v>
      </c>
      <c r="C747" s="5" t="s">
        <v>70</v>
      </c>
      <c r="D747" s="6" t="s">
        <v>71</v>
      </c>
      <c r="E747" s="5" t="s">
        <v>506</v>
      </c>
      <c r="F747" s="5" t="s">
        <v>507</v>
      </c>
      <c r="G747" s="7"/>
      <c r="H747" s="5" t="str">
        <f aca="false">IF($G747="","",IF(LOWER(TRIM($G747))=LOWER(TRIM($F747)),"Match","Mismatch"))</f>
        <v/>
      </c>
      <c r="I747" s="5" t="str">
        <f aca="false">IF($G747="","",IF(LOWER(TRIM($G747))=LOWER(TRIM($E747)),"Match","Mismatch"))</f>
        <v/>
      </c>
      <c r="J747" s="6"/>
    </row>
    <row r="748" customFormat="false" ht="15" hidden="false" customHeight="false" outlineLevel="0" collapsed="false">
      <c r="A748" s="5" t="s">
        <v>382</v>
      </c>
      <c r="B748" s="5" t="s">
        <v>505</v>
      </c>
      <c r="C748" s="5" t="s">
        <v>70</v>
      </c>
      <c r="D748" s="6" t="s">
        <v>73</v>
      </c>
      <c r="E748" s="5" t="s">
        <v>508</v>
      </c>
      <c r="F748" s="5" t="s">
        <v>509</v>
      </c>
      <c r="G748" s="7"/>
      <c r="H748" s="5" t="str">
        <f aca="false">IF($G748="","",IF(LOWER(TRIM($G748))=LOWER(TRIM($F748)),"Match","Mismatch"))</f>
        <v/>
      </c>
      <c r="I748" s="5" t="str">
        <f aca="false">IF($G748="","",IF(LOWER(TRIM($G748))=LOWER(TRIM($E748)),"Match","Mismatch"))</f>
        <v/>
      </c>
      <c r="J748" s="6"/>
    </row>
    <row r="749" customFormat="false" ht="15" hidden="false" customHeight="false" outlineLevel="0" collapsed="false">
      <c r="A749" s="5" t="s">
        <v>382</v>
      </c>
      <c r="B749" s="5" t="s">
        <v>505</v>
      </c>
      <c r="C749" s="5" t="s">
        <v>70</v>
      </c>
      <c r="D749" s="6" t="s">
        <v>80</v>
      </c>
      <c r="E749" s="5" t="s">
        <v>510</v>
      </c>
      <c r="F749" s="5" t="s">
        <v>511</v>
      </c>
      <c r="G749" s="7"/>
      <c r="H749" s="5" t="str">
        <f aca="false">IF($G749="","",IF(LOWER(TRIM($G749))=LOWER(TRIM($F749)),"Match","Mismatch"))</f>
        <v/>
      </c>
      <c r="I749" s="5" t="str">
        <f aca="false">IF($G749="","",IF(LOWER(TRIM($G749))=LOWER(TRIM($E749)),"Match","Mismatch"))</f>
        <v/>
      </c>
      <c r="J749" s="6"/>
    </row>
    <row r="750" customFormat="false" ht="15" hidden="false" customHeight="false" outlineLevel="0" collapsed="false">
      <c r="A750" s="5" t="s">
        <v>382</v>
      </c>
      <c r="B750" s="5" t="s">
        <v>505</v>
      </c>
      <c r="C750" s="5" t="s">
        <v>70</v>
      </c>
      <c r="D750" s="6" t="s">
        <v>84</v>
      </c>
      <c r="E750" s="5" t="s">
        <v>427</v>
      </c>
      <c r="F750" s="5" t="s">
        <v>428</v>
      </c>
      <c r="G750" s="7"/>
      <c r="H750" s="5" t="str">
        <f aca="false">IF($G750="","",IF(LOWER(TRIM($G750))=LOWER(TRIM($F750)),"Match","Mismatch"))</f>
        <v/>
      </c>
      <c r="I750" s="5" t="str">
        <f aca="false">IF($G750="","",IF(LOWER(TRIM($G750))=LOWER(TRIM($E750)),"Match","Mismatch"))</f>
        <v/>
      </c>
      <c r="J750" s="6"/>
    </row>
    <row r="751" customFormat="false" ht="15" hidden="false" customHeight="false" outlineLevel="0" collapsed="false">
      <c r="A751" s="5" t="s">
        <v>382</v>
      </c>
      <c r="B751" s="5" t="s">
        <v>505</v>
      </c>
      <c r="C751" s="5" t="s">
        <v>70</v>
      </c>
      <c r="D751" s="6" t="s">
        <v>86</v>
      </c>
      <c r="E751" s="5" t="s">
        <v>512</v>
      </c>
      <c r="F751" s="5" t="s">
        <v>513</v>
      </c>
      <c r="G751" s="7"/>
      <c r="H751" s="5" t="str">
        <f aca="false">IF($G751="","",IF(LOWER(TRIM($G751))=LOWER(TRIM($F751)),"Match","Mismatch"))</f>
        <v/>
      </c>
      <c r="I751" s="5" t="str">
        <f aca="false">IF($G751="","",IF(LOWER(TRIM($G751))=LOWER(TRIM($E751)),"Match","Mismatch"))</f>
        <v/>
      </c>
      <c r="J751" s="6"/>
    </row>
    <row r="752" customFormat="false" ht="35.05" hidden="false" customHeight="false" outlineLevel="0" collapsed="false">
      <c r="A752" s="5" t="s">
        <v>382</v>
      </c>
      <c r="B752" s="5" t="s">
        <v>514</v>
      </c>
      <c r="C752" s="5" t="s">
        <v>27</v>
      </c>
      <c r="D752" s="6" t="s">
        <v>32</v>
      </c>
      <c r="E752" s="5"/>
      <c r="F752" s="5" t="s">
        <v>29</v>
      </c>
      <c r="G752" s="7"/>
      <c r="H752" s="5" t="str">
        <f aca="false">IF($G752="","",IF(LOWER(TRIM($G752))=LOWER(TRIM($F752)),"Match","Mismatch"))</f>
        <v/>
      </c>
      <c r="I752" s="5" t="str">
        <f aca="false">IF($G752="","",IF(LOWER(TRIM($G752))=LOWER(TRIM($E752)),"Match","Mismatch"))</f>
        <v/>
      </c>
      <c r="J752" s="6"/>
    </row>
    <row r="753" customFormat="false" ht="15" hidden="false" customHeight="false" outlineLevel="0" collapsed="false">
      <c r="A753" s="5" t="s">
        <v>382</v>
      </c>
      <c r="B753" s="5" t="s">
        <v>514</v>
      </c>
      <c r="C753" s="5" t="s">
        <v>59</v>
      </c>
      <c r="D753" s="6" t="s">
        <v>63</v>
      </c>
      <c r="E753" s="5" t="s">
        <v>515</v>
      </c>
      <c r="F753" s="5" t="s">
        <v>516</v>
      </c>
      <c r="G753" s="7"/>
      <c r="H753" s="5" t="str">
        <f aca="false">IF($G753="","",IF(LOWER(TRIM($G753))=LOWER(TRIM($F753)),"Match","Mismatch"))</f>
        <v/>
      </c>
      <c r="I753" s="5" t="str">
        <f aca="false">IF($G753="","",IF(LOWER(TRIM($G753))=LOWER(TRIM($E753)),"Match","Mismatch"))</f>
        <v/>
      </c>
      <c r="J753" s="6"/>
    </row>
    <row r="754" customFormat="false" ht="15" hidden="false" customHeight="false" outlineLevel="0" collapsed="false">
      <c r="A754" s="5" t="s">
        <v>382</v>
      </c>
      <c r="B754" s="5" t="s">
        <v>514</v>
      </c>
      <c r="C754" s="5" t="s">
        <v>67</v>
      </c>
      <c r="D754" s="6" t="s">
        <v>68</v>
      </c>
      <c r="E754" s="5" t="s">
        <v>517</v>
      </c>
      <c r="F754" s="5" t="s">
        <v>518</v>
      </c>
      <c r="G754" s="7"/>
      <c r="H754" s="5" t="str">
        <f aca="false">IF($G754="","",IF(LOWER(TRIM($G754))=LOWER(TRIM($F754)),"Match","Mismatch"))</f>
        <v/>
      </c>
      <c r="I754" s="5" t="str">
        <f aca="false">IF($G754="","",IF(LOWER(TRIM($G754))=LOWER(TRIM($E754)),"Match","Mismatch"))</f>
        <v/>
      </c>
      <c r="J754" s="6"/>
    </row>
    <row r="755" customFormat="false" ht="15" hidden="false" customHeight="false" outlineLevel="0" collapsed="false">
      <c r="A755" s="5" t="s">
        <v>382</v>
      </c>
      <c r="B755" s="5" t="s">
        <v>514</v>
      </c>
      <c r="C755" s="5" t="s">
        <v>70</v>
      </c>
      <c r="D755" s="6" t="s">
        <v>77</v>
      </c>
      <c r="E755" s="5" t="s">
        <v>31</v>
      </c>
      <c r="F755" s="5" t="s">
        <v>519</v>
      </c>
      <c r="G755" s="7"/>
      <c r="H755" s="5" t="str">
        <f aca="false">IF($G755="","",IF(LOWER(TRIM($G755))=LOWER(TRIM($F755)),"Match","Mismatch"))</f>
        <v/>
      </c>
      <c r="I755" s="5" t="str">
        <f aca="false">IF($G755="","",IF(LOWER(TRIM($G755))=LOWER(TRIM($E755)),"Match","Mismatch"))</f>
        <v/>
      </c>
      <c r="J755" s="6"/>
    </row>
  </sheetData>
  <autoFilter ref="A1:J7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18"/>
    <col collapsed="false" customWidth="true" hidden="false" outlineLevel="0" max="7" min="7" style="0" width="20"/>
  </cols>
  <sheetData>
    <row r="1" customFormat="false" ht="15" hidden="false" customHeight="false" outlineLevel="0" collapsed="false">
      <c r="A1" s="3" t="s">
        <v>520</v>
      </c>
      <c r="D1" s="8" t="n">
        <v>0.9</v>
      </c>
    </row>
    <row r="3" customFormat="false" ht="23.85" hidden="false" customHeight="false" outlineLevel="0" collapsed="false">
      <c r="A3" s="4" t="s">
        <v>17</v>
      </c>
      <c r="B3" s="4" t="s">
        <v>18</v>
      </c>
      <c r="C3" s="4" t="s">
        <v>521</v>
      </c>
      <c r="D3" s="4" t="s">
        <v>522</v>
      </c>
      <c r="E3" s="4" t="s">
        <v>523</v>
      </c>
      <c r="F3" s="4" t="s">
        <v>524</v>
      </c>
      <c r="G3" s="4" t="s">
        <v>525</v>
      </c>
    </row>
    <row r="4" customFormat="false" ht="23.85" hidden="false" customHeight="false" outlineLevel="0" collapsed="false">
      <c r="A4" s="6" t="s">
        <v>27</v>
      </c>
      <c r="B4" s="6" t="s">
        <v>28</v>
      </c>
      <c r="C4" s="5" t="n">
        <f aca="false">COUNTIFS('Spot Check'!$C:$C,$A4,'Spot Check'!$D:$D,$B4)</f>
        <v>16</v>
      </c>
      <c r="D4" s="5" t="n">
        <f aca="false">COUNTIFS('Spot Check'!$C:$C,$A4,'Spot Check'!$D:$D,$B4,'Spot Check'!$G:$G,"&lt;&gt;")</f>
        <v>0</v>
      </c>
      <c r="E4" s="9" t="str">
        <f aca="false">IFERROR(COUNTIFS('Spot Check'!$C:$C,$A4,'Spot Check'!$D:$D,$B4,'Spot Check'!$H:$H,"Match")/$D4,"")</f>
        <v/>
      </c>
      <c r="F4" s="9" t="str">
        <f aca="false">IFERROR(COUNTIFS('Spot Check'!$C:$C,$A4,'Spot Check'!$D:$D,$B4,'Spot Check'!$I:$I,"Match")/$D4,"")</f>
        <v/>
      </c>
      <c r="G4" s="5" t="str">
        <f aca="false">IF($D4=0,"Not yet reviewed",IF($E4&lt;$D$1,"Yes — below threshold","No"))</f>
        <v>Not yet reviewed</v>
      </c>
    </row>
    <row r="5" customFormat="false" ht="23.85" hidden="false" customHeight="false" outlineLevel="0" collapsed="false">
      <c r="A5" s="6" t="s">
        <v>27</v>
      </c>
      <c r="B5" s="6" t="s">
        <v>30</v>
      </c>
      <c r="C5" s="5" t="n">
        <f aca="false">COUNTIFS('Spot Check'!$C:$C,$A5,'Spot Check'!$D:$D,$B5)</f>
        <v>17</v>
      </c>
      <c r="D5" s="5" t="n">
        <f aca="false">COUNTIFS('Spot Check'!$C:$C,$A5,'Spot Check'!$D:$D,$B5,'Spot Check'!$G:$G,"&lt;&gt;")</f>
        <v>0</v>
      </c>
      <c r="E5" s="9" t="str">
        <f aca="false">IFERROR(COUNTIFS('Spot Check'!$C:$C,$A5,'Spot Check'!$D:$D,$B5,'Spot Check'!$H:$H,"Match")/$D5,"")</f>
        <v/>
      </c>
      <c r="F5" s="9" t="str">
        <f aca="false">IFERROR(COUNTIFS('Spot Check'!$C:$C,$A5,'Spot Check'!$D:$D,$B5,'Spot Check'!$I:$I,"Match")/$D5,"")</f>
        <v/>
      </c>
      <c r="G5" s="5" t="str">
        <f aca="false">IF($D5=0,"Not yet reviewed",IF($E5&lt;$D$1,"Yes — below threshold","No"))</f>
        <v>Not yet reviewed</v>
      </c>
    </row>
    <row r="6" customFormat="false" ht="35.05" hidden="false" customHeight="false" outlineLevel="0" collapsed="false">
      <c r="A6" s="6" t="s">
        <v>27</v>
      </c>
      <c r="B6" s="6" t="s">
        <v>32</v>
      </c>
      <c r="C6" s="5" t="n">
        <f aca="false">COUNTIFS('Spot Check'!$C:$C,$A6,'Spot Check'!$D:$D,$B6)</f>
        <v>20</v>
      </c>
      <c r="D6" s="5" t="n">
        <f aca="false">COUNTIFS('Spot Check'!$C:$C,$A6,'Spot Check'!$D:$D,$B6,'Spot Check'!$G:$G,"&lt;&gt;")</f>
        <v>0</v>
      </c>
      <c r="E6" s="9" t="str">
        <f aca="false">IFERROR(COUNTIFS('Spot Check'!$C:$C,$A6,'Spot Check'!$D:$D,$B6,'Spot Check'!$H:$H,"Match")/$D6,"")</f>
        <v/>
      </c>
      <c r="F6" s="9" t="str">
        <f aca="false">IFERROR(COUNTIFS('Spot Check'!$C:$C,$A6,'Spot Check'!$D:$D,$B6,'Spot Check'!$I:$I,"Match")/$D6,"")</f>
        <v/>
      </c>
      <c r="G6" s="5" t="str">
        <f aca="false">IF($D6=0,"Not yet reviewed",IF($E6&lt;$D$1,"Yes — below threshold","No"))</f>
        <v>Not yet reviewed</v>
      </c>
    </row>
    <row r="7" customFormat="false" ht="35.05" hidden="false" customHeight="false" outlineLevel="0" collapsed="false">
      <c r="A7" s="6" t="s">
        <v>27</v>
      </c>
      <c r="B7" s="6" t="s">
        <v>33</v>
      </c>
      <c r="C7" s="5" t="n">
        <f aca="false">COUNTIFS('Spot Check'!$C:$C,$A7,'Spot Check'!$D:$D,$B7)</f>
        <v>15</v>
      </c>
      <c r="D7" s="5" t="n">
        <f aca="false">COUNTIFS('Spot Check'!$C:$C,$A7,'Spot Check'!$D:$D,$B7,'Spot Check'!$G:$G,"&lt;&gt;")</f>
        <v>0</v>
      </c>
      <c r="E7" s="9" t="str">
        <f aca="false">IFERROR(COUNTIFS('Spot Check'!$C:$C,$A7,'Spot Check'!$D:$D,$B7,'Spot Check'!$H:$H,"Match")/$D7,"")</f>
        <v/>
      </c>
      <c r="F7" s="9" t="str">
        <f aca="false">IFERROR(COUNTIFS('Spot Check'!$C:$C,$A7,'Spot Check'!$D:$D,$B7,'Spot Check'!$I:$I,"Match")/$D7,"")</f>
        <v/>
      </c>
      <c r="G7" s="5" t="str">
        <f aca="false">IF($D7=0,"Not yet reviewed",IF($E7&lt;$D$1,"Yes — below threshold","No"))</f>
        <v>Not yet reviewed</v>
      </c>
    </row>
    <row r="8" customFormat="false" ht="23.85" hidden="false" customHeight="false" outlineLevel="0" collapsed="false">
      <c r="A8" s="6" t="s">
        <v>27</v>
      </c>
      <c r="B8" s="6" t="s">
        <v>34</v>
      </c>
      <c r="C8" s="5" t="n">
        <f aca="false">COUNTIFS('Spot Check'!$C:$C,$A8,'Spot Check'!$D:$D,$B8)</f>
        <v>15</v>
      </c>
      <c r="D8" s="5" t="n">
        <f aca="false">COUNTIFS('Spot Check'!$C:$C,$A8,'Spot Check'!$D:$D,$B8,'Spot Check'!$G:$G,"&lt;&gt;")</f>
        <v>0</v>
      </c>
      <c r="E8" s="9" t="str">
        <f aca="false">IFERROR(COUNTIFS('Spot Check'!$C:$C,$A8,'Spot Check'!$D:$D,$B8,'Spot Check'!$H:$H,"Match")/$D8,"")</f>
        <v/>
      </c>
      <c r="F8" s="9" t="str">
        <f aca="false">IFERROR(COUNTIFS('Spot Check'!$C:$C,$A8,'Spot Check'!$D:$D,$B8,'Spot Check'!$I:$I,"Match")/$D8,"")</f>
        <v/>
      </c>
      <c r="G8" s="5" t="str">
        <f aca="false">IF($D8=0,"Not yet reviewed",IF($E8&lt;$D$1,"Yes — below threshold","No"))</f>
        <v>Not yet reviewed</v>
      </c>
    </row>
    <row r="9" customFormat="false" ht="15" hidden="false" customHeight="false" outlineLevel="0" collapsed="false">
      <c r="A9" s="6" t="s">
        <v>27</v>
      </c>
      <c r="B9" s="6" t="s">
        <v>35</v>
      </c>
      <c r="C9" s="5" t="n">
        <f aca="false">COUNTIFS('Spot Check'!$C:$C,$A9,'Spot Check'!$D:$D,$B9)</f>
        <v>22</v>
      </c>
      <c r="D9" s="5" t="n">
        <f aca="false">COUNTIFS('Spot Check'!$C:$C,$A9,'Spot Check'!$D:$D,$B9,'Spot Check'!$G:$G,"&lt;&gt;")</f>
        <v>0</v>
      </c>
      <c r="E9" s="9" t="str">
        <f aca="false">IFERROR(COUNTIFS('Spot Check'!$C:$C,$A9,'Spot Check'!$D:$D,$B9,'Spot Check'!$H:$H,"Match")/$D9,"")</f>
        <v/>
      </c>
      <c r="F9" s="9" t="str">
        <f aca="false">IFERROR(COUNTIFS('Spot Check'!$C:$C,$A9,'Spot Check'!$D:$D,$B9,'Spot Check'!$I:$I,"Match")/$D9,"")</f>
        <v/>
      </c>
      <c r="G9" s="5" t="str">
        <f aca="false">IF($D9=0,"Not yet reviewed",IF($E9&lt;$D$1,"Yes — below threshold","No"))</f>
        <v>Not yet reviewed</v>
      </c>
    </row>
    <row r="10" customFormat="false" ht="23.85" hidden="false" customHeight="false" outlineLevel="0" collapsed="false">
      <c r="A10" s="6" t="s">
        <v>27</v>
      </c>
      <c r="B10" s="6" t="s">
        <v>37</v>
      </c>
      <c r="C10" s="5" t="n">
        <f aca="false">COUNTIFS('Spot Check'!$C:$C,$A10,'Spot Check'!$D:$D,$B10)</f>
        <v>18</v>
      </c>
      <c r="D10" s="5" t="n">
        <f aca="false">COUNTIFS('Spot Check'!$C:$C,$A10,'Spot Check'!$D:$D,$B10,'Spot Check'!$G:$G,"&lt;&gt;")</f>
        <v>0</v>
      </c>
      <c r="E10" s="9" t="str">
        <f aca="false">IFERROR(COUNTIFS('Spot Check'!$C:$C,$A10,'Spot Check'!$D:$D,$B10,'Spot Check'!$H:$H,"Match")/$D10,"")</f>
        <v/>
      </c>
      <c r="F10" s="9" t="str">
        <f aca="false">IFERROR(COUNTIFS('Spot Check'!$C:$C,$A10,'Spot Check'!$D:$D,$B10,'Spot Check'!$I:$I,"Match")/$D10,"")</f>
        <v/>
      </c>
      <c r="G10" s="5" t="str">
        <f aca="false">IF($D10=0,"Not yet reviewed",IF($E10&lt;$D$1,"Yes — below threshold","No"))</f>
        <v>Not yet reviewed</v>
      </c>
    </row>
    <row r="11" customFormat="false" ht="23.85" hidden="false" customHeight="false" outlineLevel="0" collapsed="false">
      <c r="A11" s="6" t="s">
        <v>27</v>
      </c>
      <c r="B11" s="6" t="s">
        <v>38</v>
      </c>
      <c r="C11" s="5" t="n">
        <f aca="false">COUNTIFS('Spot Check'!$C:$C,$A11,'Spot Check'!$D:$D,$B11)</f>
        <v>19</v>
      </c>
      <c r="D11" s="5" t="n">
        <f aca="false">COUNTIFS('Spot Check'!$C:$C,$A11,'Spot Check'!$D:$D,$B11,'Spot Check'!$G:$G,"&lt;&gt;")</f>
        <v>0</v>
      </c>
      <c r="E11" s="9" t="str">
        <f aca="false">IFERROR(COUNTIFS('Spot Check'!$C:$C,$A11,'Spot Check'!$D:$D,$B11,'Spot Check'!$H:$H,"Match")/$D11,"")</f>
        <v/>
      </c>
      <c r="F11" s="9" t="str">
        <f aca="false">IFERROR(COUNTIFS('Spot Check'!$C:$C,$A11,'Spot Check'!$D:$D,$B11,'Spot Check'!$I:$I,"Match")/$D11,"")</f>
        <v/>
      </c>
      <c r="G11" s="5" t="str">
        <f aca="false">IF($D11=0,"Not yet reviewed",IF($E11&lt;$D$1,"Yes — below threshold","No"))</f>
        <v>Not yet reviewed</v>
      </c>
    </row>
    <row r="12" customFormat="false" ht="23.85" hidden="false" customHeight="false" outlineLevel="0" collapsed="false">
      <c r="A12" s="6" t="s">
        <v>39</v>
      </c>
      <c r="B12" s="6" t="s">
        <v>40</v>
      </c>
      <c r="C12" s="5" t="n">
        <f aca="false">COUNTIFS('Spot Check'!$C:$C,$A12,'Spot Check'!$D:$D,$B12)</f>
        <v>19</v>
      </c>
      <c r="D12" s="5" t="n">
        <f aca="false">COUNTIFS('Spot Check'!$C:$C,$A12,'Spot Check'!$D:$D,$B12,'Spot Check'!$G:$G,"&lt;&gt;")</f>
        <v>0</v>
      </c>
      <c r="E12" s="9" t="str">
        <f aca="false">IFERROR(COUNTIFS('Spot Check'!$C:$C,$A12,'Spot Check'!$D:$D,$B12,'Spot Check'!$H:$H,"Match")/$D12,"")</f>
        <v/>
      </c>
      <c r="F12" s="9" t="str">
        <f aca="false">IFERROR(COUNTIFS('Spot Check'!$C:$C,$A12,'Spot Check'!$D:$D,$B12,'Spot Check'!$I:$I,"Match")/$D12,"")</f>
        <v/>
      </c>
      <c r="G12" s="5" t="str">
        <f aca="false">IF($D12=0,"Not yet reviewed",IF($E12&lt;$D$1,"Yes — below threshold","No"))</f>
        <v>Not yet reviewed</v>
      </c>
    </row>
    <row r="13" customFormat="false" ht="23.85" hidden="false" customHeight="false" outlineLevel="0" collapsed="false">
      <c r="A13" s="6" t="s">
        <v>39</v>
      </c>
      <c r="B13" s="6" t="s">
        <v>42</v>
      </c>
      <c r="C13" s="5" t="n">
        <f aca="false">COUNTIFS('Spot Check'!$C:$C,$A13,'Spot Check'!$D:$D,$B13)</f>
        <v>23</v>
      </c>
      <c r="D13" s="5" t="n">
        <f aca="false">COUNTIFS('Spot Check'!$C:$C,$A13,'Spot Check'!$D:$D,$B13,'Spot Check'!$G:$G,"&lt;&gt;")</f>
        <v>0</v>
      </c>
      <c r="E13" s="9" t="str">
        <f aca="false">IFERROR(COUNTIFS('Spot Check'!$C:$C,$A13,'Spot Check'!$D:$D,$B13,'Spot Check'!$H:$H,"Match")/$D13,"")</f>
        <v/>
      </c>
      <c r="F13" s="9" t="str">
        <f aca="false">IFERROR(COUNTIFS('Spot Check'!$C:$C,$A13,'Spot Check'!$D:$D,$B13,'Spot Check'!$I:$I,"Match")/$D13,"")</f>
        <v/>
      </c>
      <c r="G13" s="5" t="str">
        <f aca="false">IF($D13=0,"Not yet reviewed",IF($E13&lt;$D$1,"Yes — below threshold","No"))</f>
        <v>Not yet reviewed</v>
      </c>
    </row>
    <row r="14" customFormat="false" ht="23.85" hidden="false" customHeight="false" outlineLevel="0" collapsed="false">
      <c r="A14" s="6" t="s">
        <v>39</v>
      </c>
      <c r="B14" s="6" t="s">
        <v>44</v>
      </c>
      <c r="C14" s="5" t="n">
        <f aca="false">COUNTIFS('Spot Check'!$C:$C,$A14,'Spot Check'!$D:$D,$B14)</f>
        <v>20</v>
      </c>
      <c r="D14" s="5" t="n">
        <f aca="false">COUNTIFS('Spot Check'!$C:$C,$A14,'Spot Check'!$D:$D,$B14,'Spot Check'!$G:$G,"&lt;&gt;")</f>
        <v>0</v>
      </c>
      <c r="E14" s="9" t="str">
        <f aca="false">IFERROR(COUNTIFS('Spot Check'!$C:$C,$A14,'Spot Check'!$D:$D,$B14,'Spot Check'!$H:$H,"Match")/$D14,"")</f>
        <v/>
      </c>
      <c r="F14" s="9" t="str">
        <f aca="false">IFERROR(COUNTIFS('Spot Check'!$C:$C,$A14,'Spot Check'!$D:$D,$B14,'Spot Check'!$I:$I,"Match")/$D14,"")</f>
        <v/>
      </c>
      <c r="G14" s="5" t="str">
        <f aca="false">IF($D14=0,"Not yet reviewed",IF($E14&lt;$D$1,"Yes — below threshold","No"))</f>
        <v>Not yet reviewed</v>
      </c>
    </row>
    <row r="15" customFormat="false" ht="23.85" hidden="false" customHeight="false" outlineLevel="0" collapsed="false">
      <c r="A15" s="6" t="s">
        <v>39</v>
      </c>
      <c r="B15" s="6" t="s">
        <v>45</v>
      </c>
      <c r="C15" s="5" t="n">
        <f aca="false">COUNTIFS('Spot Check'!$C:$C,$A15,'Spot Check'!$D:$D,$B15)</f>
        <v>17</v>
      </c>
      <c r="D15" s="5" t="n">
        <f aca="false">COUNTIFS('Spot Check'!$C:$C,$A15,'Spot Check'!$D:$D,$B15,'Spot Check'!$G:$G,"&lt;&gt;")</f>
        <v>0</v>
      </c>
      <c r="E15" s="9" t="str">
        <f aca="false">IFERROR(COUNTIFS('Spot Check'!$C:$C,$A15,'Spot Check'!$D:$D,$B15,'Spot Check'!$H:$H,"Match")/$D15,"")</f>
        <v/>
      </c>
      <c r="F15" s="9" t="str">
        <f aca="false">IFERROR(COUNTIFS('Spot Check'!$C:$C,$A15,'Spot Check'!$D:$D,$B15,'Spot Check'!$I:$I,"Match")/$D15,"")</f>
        <v/>
      </c>
      <c r="G15" s="5" t="str">
        <f aca="false">IF($D15=0,"Not yet reviewed",IF($E15&lt;$D$1,"Yes — below threshold","No"))</f>
        <v>Not yet reviewed</v>
      </c>
    </row>
    <row r="16" customFormat="false" ht="23.85" hidden="false" customHeight="false" outlineLevel="0" collapsed="false">
      <c r="A16" s="6" t="s">
        <v>39</v>
      </c>
      <c r="B16" s="6" t="s">
        <v>47</v>
      </c>
      <c r="C16" s="5" t="n">
        <f aca="false">COUNTIFS('Spot Check'!$C:$C,$A16,'Spot Check'!$D:$D,$B16)</f>
        <v>23</v>
      </c>
      <c r="D16" s="5" t="n">
        <f aca="false">COUNTIFS('Spot Check'!$C:$C,$A16,'Spot Check'!$D:$D,$B16,'Spot Check'!$G:$G,"&lt;&gt;")</f>
        <v>0</v>
      </c>
      <c r="E16" s="9" t="str">
        <f aca="false">IFERROR(COUNTIFS('Spot Check'!$C:$C,$A16,'Spot Check'!$D:$D,$B16,'Spot Check'!$H:$H,"Match")/$D16,"")</f>
        <v/>
      </c>
      <c r="F16" s="9" t="str">
        <f aca="false">IFERROR(COUNTIFS('Spot Check'!$C:$C,$A16,'Spot Check'!$D:$D,$B16,'Spot Check'!$I:$I,"Match")/$D16,"")</f>
        <v/>
      </c>
      <c r="G16" s="5" t="str">
        <f aca="false">IF($D16=0,"Not yet reviewed",IF($E16&lt;$D$1,"Yes — below threshold","No"))</f>
        <v>Not yet reviewed</v>
      </c>
    </row>
    <row r="17" customFormat="false" ht="23.85" hidden="false" customHeight="false" outlineLevel="0" collapsed="false">
      <c r="A17" s="6" t="s">
        <v>39</v>
      </c>
      <c r="B17" s="6" t="s">
        <v>48</v>
      </c>
      <c r="C17" s="5" t="n">
        <f aca="false">COUNTIFS('Spot Check'!$C:$C,$A17,'Spot Check'!$D:$D,$B17)</f>
        <v>15</v>
      </c>
      <c r="D17" s="5" t="n">
        <f aca="false">COUNTIFS('Spot Check'!$C:$C,$A17,'Spot Check'!$D:$D,$B17,'Spot Check'!$G:$G,"&lt;&gt;")</f>
        <v>0</v>
      </c>
      <c r="E17" s="9" t="str">
        <f aca="false">IFERROR(COUNTIFS('Spot Check'!$C:$C,$A17,'Spot Check'!$D:$D,$B17,'Spot Check'!$H:$H,"Match")/$D17,"")</f>
        <v/>
      </c>
      <c r="F17" s="9" t="str">
        <f aca="false">IFERROR(COUNTIFS('Spot Check'!$C:$C,$A17,'Spot Check'!$D:$D,$B17,'Spot Check'!$I:$I,"Match")/$D17,"")</f>
        <v/>
      </c>
      <c r="G17" s="5" t="str">
        <f aca="false">IF($D17=0,"Not yet reviewed",IF($E17&lt;$D$1,"Yes — below threshold","No"))</f>
        <v>Not yet reviewed</v>
      </c>
    </row>
    <row r="18" customFormat="false" ht="23.85" hidden="false" customHeight="false" outlineLevel="0" collapsed="false">
      <c r="A18" s="6" t="s">
        <v>39</v>
      </c>
      <c r="B18" s="6" t="s">
        <v>49</v>
      </c>
      <c r="C18" s="5" t="n">
        <f aca="false">COUNTIFS('Spot Check'!$C:$C,$A18,'Spot Check'!$D:$D,$B18)</f>
        <v>15</v>
      </c>
      <c r="D18" s="5" t="n">
        <f aca="false">COUNTIFS('Spot Check'!$C:$C,$A18,'Spot Check'!$D:$D,$B18,'Spot Check'!$G:$G,"&lt;&gt;")</f>
        <v>0</v>
      </c>
      <c r="E18" s="9" t="str">
        <f aca="false">IFERROR(COUNTIFS('Spot Check'!$C:$C,$A18,'Spot Check'!$D:$D,$B18,'Spot Check'!$H:$H,"Match")/$D18,"")</f>
        <v/>
      </c>
      <c r="F18" s="9" t="str">
        <f aca="false">IFERROR(COUNTIFS('Spot Check'!$C:$C,$A18,'Spot Check'!$D:$D,$B18,'Spot Check'!$I:$I,"Match")/$D18,"")</f>
        <v/>
      </c>
      <c r="G18" s="5" t="str">
        <f aca="false">IF($D18=0,"Not yet reviewed",IF($E18&lt;$D$1,"Yes — below threshold","No"))</f>
        <v>Not yet reviewed</v>
      </c>
    </row>
    <row r="19" customFormat="false" ht="23.85" hidden="false" customHeight="false" outlineLevel="0" collapsed="false">
      <c r="A19" s="6" t="s">
        <v>39</v>
      </c>
      <c r="B19" s="6" t="s">
        <v>50</v>
      </c>
      <c r="C19" s="5" t="n">
        <f aca="false">COUNTIFS('Spot Check'!$C:$C,$A19,'Spot Check'!$D:$D,$B19)</f>
        <v>19</v>
      </c>
      <c r="D19" s="5" t="n">
        <f aca="false">COUNTIFS('Spot Check'!$C:$C,$A19,'Spot Check'!$D:$D,$B19,'Spot Check'!$G:$G,"&lt;&gt;")</f>
        <v>0</v>
      </c>
      <c r="E19" s="9" t="str">
        <f aca="false">IFERROR(COUNTIFS('Spot Check'!$C:$C,$A19,'Spot Check'!$D:$D,$B19,'Spot Check'!$H:$H,"Match")/$D19,"")</f>
        <v/>
      </c>
      <c r="F19" s="9" t="str">
        <f aca="false">IFERROR(COUNTIFS('Spot Check'!$C:$C,$A19,'Spot Check'!$D:$D,$B19,'Spot Check'!$I:$I,"Match")/$D19,"")</f>
        <v/>
      </c>
      <c r="G19" s="5" t="str">
        <f aca="false">IF($D19=0,"Not yet reviewed",IF($E19&lt;$D$1,"Yes — below threshold","No"))</f>
        <v>Not yet reviewed</v>
      </c>
    </row>
    <row r="20" customFormat="false" ht="23.85" hidden="false" customHeight="false" outlineLevel="0" collapsed="false">
      <c r="A20" s="6" t="s">
        <v>39</v>
      </c>
      <c r="B20" s="6" t="s">
        <v>51</v>
      </c>
      <c r="C20" s="5" t="n">
        <f aca="false">COUNTIFS('Spot Check'!$C:$C,$A20,'Spot Check'!$D:$D,$B20)</f>
        <v>14</v>
      </c>
      <c r="D20" s="5" t="n">
        <f aca="false">COUNTIFS('Spot Check'!$C:$C,$A20,'Spot Check'!$D:$D,$B20,'Spot Check'!$G:$G,"&lt;&gt;")</f>
        <v>0</v>
      </c>
      <c r="E20" s="9" t="str">
        <f aca="false">IFERROR(COUNTIFS('Spot Check'!$C:$C,$A20,'Spot Check'!$D:$D,$B20,'Spot Check'!$H:$H,"Match")/$D20,"")</f>
        <v/>
      </c>
      <c r="F20" s="9" t="str">
        <f aca="false">IFERROR(COUNTIFS('Spot Check'!$C:$C,$A20,'Spot Check'!$D:$D,$B20,'Spot Check'!$I:$I,"Match")/$D20,"")</f>
        <v/>
      </c>
      <c r="G20" s="5" t="str">
        <f aca="false">IF($D20=0,"Not yet reviewed",IF($E20&lt;$D$1,"Yes — below threshold","No"))</f>
        <v>Not yet reviewed</v>
      </c>
    </row>
    <row r="21" customFormat="false" ht="23.85" hidden="false" customHeight="false" outlineLevel="0" collapsed="false">
      <c r="A21" s="6" t="s">
        <v>39</v>
      </c>
      <c r="B21" s="6" t="s">
        <v>52</v>
      </c>
      <c r="C21" s="5" t="n">
        <f aca="false">COUNTIFS('Spot Check'!$C:$C,$A21,'Spot Check'!$D:$D,$B21)</f>
        <v>16</v>
      </c>
      <c r="D21" s="5" t="n">
        <f aca="false">COUNTIFS('Spot Check'!$C:$C,$A21,'Spot Check'!$D:$D,$B21,'Spot Check'!$G:$G,"&lt;&gt;")</f>
        <v>0</v>
      </c>
      <c r="E21" s="9" t="str">
        <f aca="false">IFERROR(COUNTIFS('Spot Check'!$C:$C,$A21,'Spot Check'!$D:$D,$B21,'Spot Check'!$H:$H,"Match")/$D21,"")</f>
        <v/>
      </c>
      <c r="F21" s="9" t="str">
        <f aca="false">IFERROR(COUNTIFS('Spot Check'!$C:$C,$A21,'Spot Check'!$D:$D,$B21,'Spot Check'!$I:$I,"Match")/$D21,"")</f>
        <v/>
      </c>
      <c r="G21" s="5" t="str">
        <f aca="false">IF($D21=0,"Not yet reviewed",IF($E21&lt;$D$1,"Yes — below threshold","No"))</f>
        <v>Not yet reviewed</v>
      </c>
    </row>
    <row r="22" customFormat="false" ht="23.85" hidden="false" customHeight="false" outlineLevel="0" collapsed="false">
      <c r="A22" s="6" t="s">
        <v>39</v>
      </c>
      <c r="B22" s="6" t="s">
        <v>53</v>
      </c>
      <c r="C22" s="5" t="n">
        <f aca="false">COUNTIFS('Spot Check'!$C:$C,$A22,'Spot Check'!$D:$D,$B22)</f>
        <v>15</v>
      </c>
      <c r="D22" s="5" t="n">
        <f aca="false">COUNTIFS('Spot Check'!$C:$C,$A22,'Spot Check'!$D:$D,$B22,'Spot Check'!$G:$G,"&lt;&gt;")</f>
        <v>0</v>
      </c>
      <c r="E22" s="9" t="str">
        <f aca="false">IFERROR(COUNTIFS('Spot Check'!$C:$C,$A22,'Spot Check'!$D:$D,$B22,'Spot Check'!$H:$H,"Match")/$D22,"")</f>
        <v/>
      </c>
      <c r="F22" s="9" t="str">
        <f aca="false">IFERROR(COUNTIFS('Spot Check'!$C:$C,$A22,'Spot Check'!$D:$D,$B22,'Spot Check'!$I:$I,"Match")/$D22,"")</f>
        <v/>
      </c>
      <c r="G22" s="5" t="str">
        <f aca="false">IF($D22=0,"Not yet reviewed",IF($E22&lt;$D$1,"Yes — below threshold","No"))</f>
        <v>Not yet reviewed</v>
      </c>
    </row>
    <row r="23" customFormat="false" ht="23.85" hidden="false" customHeight="false" outlineLevel="0" collapsed="false">
      <c r="A23" s="6" t="s">
        <v>39</v>
      </c>
      <c r="B23" s="6" t="s">
        <v>54</v>
      </c>
      <c r="C23" s="5" t="n">
        <f aca="false">COUNTIFS('Spot Check'!$C:$C,$A23,'Spot Check'!$D:$D,$B23)</f>
        <v>17</v>
      </c>
      <c r="D23" s="5" t="n">
        <f aca="false">COUNTIFS('Spot Check'!$C:$C,$A23,'Spot Check'!$D:$D,$B23,'Spot Check'!$G:$G,"&lt;&gt;")</f>
        <v>0</v>
      </c>
      <c r="E23" s="9" t="str">
        <f aca="false">IFERROR(COUNTIFS('Spot Check'!$C:$C,$A23,'Spot Check'!$D:$D,$B23,'Spot Check'!$H:$H,"Match")/$D23,"")</f>
        <v/>
      </c>
      <c r="F23" s="9" t="str">
        <f aca="false">IFERROR(COUNTIFS('Spot Check'!$C:$C,$A23,'Spot Check'!$D:$D,$B23,'Spot Check'!$I:$I,"Match")/$D23,"")</f>
        <v/>
      </c>
      <c r="G23" s="5" t="str">
        <f aca="false">IF($D23=0,"Not yet reviewed",IF($E23&lt;$D$1,"Yes — below threshold","No"))</f>
        <v>Not yet reviewed</v>
      </c>
    </row>
    <row r="24" customFormat="false" ht="23.85" hidden="false" customHeight="false" outlineLevel="0" collapsed="false">
      <c r="A24" s="6" t="s">
        <v>39</v>
      </c>
      <c r="B24" s="6" t="s">
        <v>56</v>
      </c>
      <c r="C24" s="5" t="n">
        <f aca="false">COUNTIFS('Spot Check'!$C:$C,$A24,'Spot Check'!$D:$D,$B24)</f>
        <v>19</v>
      </c>
      <c r="D24" s="5" t="n">
        <f aca="false">COUNTIFS('Spot Check'!$C:$C,$A24,'Spot Check'!$D:$D,$B24,'Spot Check'!$G:$G,"&lt;&gt;")</f>
        <v>0</v>
      </c>
      <c r="E24" s="9" t="str">
        <f aca="false">IFERROR(COUNTIFS('Spot Check'!$C:$C,$A24,'Spot Check'!$D:$D,$B24,'Spot Check'!$H:$H,"Match")/$D24,"")</f>
        <v/>
      </c>
      <c r="F24" s="9" t="str">
        <f aca="false">IFERROR(COUNTIFS('Spot Check'!$C:$C,$A24,'Spot Check'!$D:$D,$B24,'Spot Check'!$I:$I,"Match")/$D24,"")</f>
        <v/>
      </c>
      <c r="G24" s="5" t="str">
        <f aca="false">IF($D24=0,"Not yet reviewed",IF($E24&lt;$D$1,"Yes — below threshold","No"))</f>
        <v>Not yet reviewed</v>
      </c>
    </row>
    <row r="25" customFormat="false" ht="23.85" hidden="false" customHeight="false" outlineLevel="0" collapsed="false">
      <c r="A25" s="6" t="s">
        <v>39</v>
      </c>
      <c r="B25" s="6" t="s">
        <v>57</v>
      </c>
      <c r="C25" s="5" t="n">
        <f aca="false">COUNTIFS('Spot Check'!$C:$C,$A25,'Spot Check'!$D:$D,$B25)</f>
        <v>17</v>
      </c>
      <c r="D25" s="5" t="n">
        <f aca="false">COUNTIFS('Spot Check'!$C:$C,$A25,'Spot Check'!$D:$D,$B25,'Spot Check'!$G:$G,"&lt;&gt;")</f>
        <v>0</v>
      </c>
      <c r="E25" s="9" t="str">
        <f aca="false">IFERROR(COUNTIFS('Spot Check'!$C:$C,$A25,'Spot Check'!$D:$D,$B25,'Spot Check'!$H:$H,"Match")/$D25,"")</f>
        <v/>
      </c>
      <c r="F25" s="9" t="str">
        <f aca="false">IFERROR(COUNTIFS('Spot Check'!$C:$C,$A25,'Spot Check'!$D:$D,$B25,'Spot Check'!$I:$I,"Match")/$D25,"")</f>
        <v/>
      </c>
      <c r="G25" s="5" t="str">
        <f aca="false">IF($D25=0,"Not yet reviewed",IF($E25&lt;$D$1,"Yes — below threshold","No"))</f>
        <v>Not yet reviewed</v>
      </c>
    </row>
    <row r="26" customFormat="false" ht="23.85" hidden="false" customHeight="false" outlineLevel="0" collapsed="false">
      <c r="A26" s="6" t="s">
        <v>39</v>
      </c>
      <c r="B26" s="6" t="s">
        <v>58</v>
      </c>
      <c r="C26" s="5" t="n">
        <f aca="false">COUNTIFS('Spot Check'!$C:$C,$A26,'Spot Check'!$D:$D,$B26)</f>
        <v>21</v>
      </c>
      <c r="D26" s="5" t="n">
        <f aca="false">COUNTIFS('Spot Check'!$C:$C,$A26,'Spot Check'!$D:$D,$B26,'Spot Check'!$G:$G,"&lt;&gt;")</f>
        <v>0</v>
      </c>
      <c r="E26" s="9" t="str">
        <f aca="false">IFERROR(COUNTIFS('Spot Check'!$C:$C,$A26,'Spot Check'!$D:$D,$B26,'Spot Check'!$H:$H,"Match")/$D26,"")</f>
        <v/>
      </c>
      <c r="F26" s="9" t="str">
        <f aca="false">IFERROR(COUNTIFS('Spot Check'!$C:$C,$A26,'Spot Check'!$D:$D,$B26,'Spot Check'!$I:$I,"Match")/$D26,"")</f>
        <v/>
      </c>
      <c r="G26" s="5" t="str">
        <f aca="false">IF($D26=0,"Not yet reviewed",IF($E26&lt;$D$1,"Yes — below threshold","No"))</f>
        <v>Not yet reviewed</v>
      </c>
    </row>
    <row r="27" customFormat="false" ht="15" hidden="false" customHeight="false" outlineLevel="0" collapsed="false">
      <c r="A27" s="6" t="s">
        <v>59</v>
      </c>
      <c r="B27" s="6" t="s">
        <v>60</v>
      </c>
      <c r="C27" s="5" t="n">
        <f aca="false">COUNTIFS('Spot Check'!$C:$C,$A27,'Spot Check'!$D:$D,$B27)</f>
        <v>17</v>
      </c>
      <c r="D27" s="5" t="n">
        <f aca="false">COUNTIFS('Spot Check'!$C:$C,$A27,'Spot Check'!$D:$D,$B27,'Spot Check'!$G:$G,"&lt;&gt;")</f>
        <v>0</v>
      </c>
      <c r="E27" s="9" t="str">
        <f aca="false">IFERROR(COUNTIFS('Spot Check'!$C:$C,$A27,'Spot Check'!$D:$D,$B27,'Spot Check'!$H:$H,"Match")/$D27,"")</f>
        <v/>
      </c>
      <c r="F27" s="9" t="str">
        <f aca="false">IFERROR(COUNTIFS('Spot Check'!$C:$C,$A27,'Spot Check'!$D:$D,$B27,'Spot Check'!$I:$I,"Match")/$D27,"")</f>
        <v/>
      </c>
      <c r="G27" s="5" t="str">
        <f aca="false">IF($D27=0,"Not yet reviewed",IF($E27&lt;$D$1,"Yes — below threshold","No"))</f>
        <v>Not yet reviewed</v>
      </c>
    </row>
    <row r="28" customFormat="false" ht="23.85" hidden="false" customHeight="false" outlineLevel="0" collapsed="false">
      <c r="A28" s="6" t="s">
        <v>59</v>
      </c>
      <c r="B28" s="6" t="s">
        <v>61</v>
      </c>
      <c r="C28" s="5" t="n">
        <f aca="false">COUNTIFS('Spot Check'!$C:$C,$A28,'Spot Check'!$D:$D,$B28)</f>
        <v>18</v>
      </c>
      <c r="D28" s="5" t="n">
        <f aca="false">COUNTIFS('Spot Check'!$C:$C,$A28,'Spot Check'!$D:$D,$B28,'Spot Check'!$G:$G,"&lt;&gt;")</f>
        <v>0</v>
      </c>
      <c r="E28" s="9" t="str">
        <f aca="false">IFERROR(COUNTIFS('Spot Check'!$C:$C,$A28,'Spot Check'!$D:$D,$B28,'Spot Check'!$H:$H,"Match")/$D28,"")</f>
        <v/>
      </c>
      <c r="F28" s="9" t="str">
        <f aca="false">IFERROR(COUNTIFS('Spot Check'!$C:$C,$A28,'Spot Check'!$D:$D,$B28,'Spot Check'!$I:$I,"Match")/$D28,"")</f>
        <v/>
      </c>
      <c r="G28" s="5" t="str">
        <f aca="false">IF($D28=0,"Not yet reviewed",IF($E28&lt;$D$1,"Yes — below threshold","No"))</f>
        <v>Not yet reviewed</v>
      </c>
    </row>
    <row r="29" customFormat="false" ht="15" hidden="false" customHeight="false" outlineLevel="0" collapsed="false">
      <c r="A29" s="6" t="s">
        <v>59</v>
      </c>
      <c r="B29" s="6" t="s">
        <v>62</v>
      </c>
      <c r="C29" s="5" t="n">
        <f aca="false">COUNTIFS('Spot Check'!$C:$C,$A29,'Spot Check'!$D:$D,$B29)</f>
        <v>17</v>
      </c>
      <c r="D29" s="5" t="n">
        <f aca="false">COUNTIFS('Spot Check'!$C:$C,$A29,'Spot Check'!$D:$D,$B29,'Spot Check'!$G:$G,"&lt;&gt;")</f>
        <v>0</v>
      </c>
      <c r="E29" s="9" t="str">
        <f aca="false">IFERROR(COUNTIFS('Spot Check'!$C:$C,$A29,'Spot Check'!$D:$D,$B29,'Spot Check'!$H:$H,"Match")/$D29,"")</f>
        <v/>
      </c>
      <c r="F29" s="9" t="str">
        <f aca="false">IFERROR(COUNTIFS('Spot Check'!$C:$C,$A29,'Spot Check'!$D:$D,$B29,'Spot Check'!$I:$I,"Match")/$D29,"")</f>
        <v/>
      </c>
      <c r="G29" s="5" t="str">
        <f aca="false">IF($D29=0,"Not yet reviewed",IF($E29&lt;$D$1,"Yes — below threshold","No"))</f>
        <v>Not yet reviewed</v>
      </c>
    </row>
    <row r="30" customFormat="false" ht="15" hidden="false" customHeight="false" outlineLevel="0" collapsed="false">
      <c r="A30" s="6" t="s">
        <v>59</v>
      </c>
      <c r="B30" s="6" t="s">
        <v>63</v>
      </c>
      <c r="C30" s="5" t="n">
        <f aca="false">COUNTIFS('Spot Check'!$C:$C,$A30,'Spot Check'!$D:$D,$B30)</f>
        <v>26</v>
      </c>
      <c r="D30" s="5" t="n">
        <f aca="false">COUNTIFS('Spot Check'!$C:$C,$A30,'Spot Check'!$D:$D,$B30,'Spot Check'!$G:$G,"&lt;&gt;")</f>
        <v>0</v>
      </c>
      <c r="E30" s="9" t="str">
        <f aca="false">IFERROR(COUNTIFS('Spot Check'!$C:$C,$A30,'Spot Check'!$D:$D,$B30,'Spot Check'!$H:$H,"Match")/$D30,"")</f>
        <v/>
      </c>
      <c r="F30" s="9" t="str">
        <f aca="false">IFERROR(COUNTIFS('Spot Check'!$C:$C,$A30,'Spot Check'!$D:$D,$B30,'Spot Check'!$I:$I,"Match")/$D30,"")</f>
        <v/>
      </c>
      <c r="G30" s="5" t="str">
        <f aca="false">IF($D30=0,"Not yet reviewed",IF($E30&lt;$D$1,"Yes — below threshold","No"))</f>
        <v>Not yet reviewed</v>
      </c>
    </row>
    <row r="31" customFormat="false" ht="23.85" hidden="false" customHeight="false" outlineLevel="0" collapsed="false">
      <c r="A31" s="6" t="s">
        <v>59</v>
      </c>
      <c r="B31" s="6" t="s">
        <v>65</v>
      </c>
      <c r="C31" s="5" t="n">
        <f aca="false">COUNTIFS('Spot Check'!$C:$C,$A31,'Spot Check'!$D:$D,$B31)</f>
        <v>16</v>
      </c>
      <c r="D31" s="5" t="n">
        <f aca="false">COUNTIFS('Spot Check'!$C:$C,$A31,'Spot Check'!$D:$D,$B31,'Spot Check'!$G:$G,"&lt;&gt;")</f>
        <v>0</v>
      </c>
      <c r="E31" s="9" t="str">
        <f aca="false">IFERROR(COUNTIFS('Spot Check'!$C:$C,$A31,'Spot Check'!$D:$D,$B31,'Spot Check'!$H:$H,"Match")/$D31,"")</f>
        <v/>
      </c>
      <c r="F31" s="9" t="str">
        <f aca="false">IFERROR(COUNTIFS('Spot Check'!$C:$C,$A31,'Spot Check'!$D:$D,$B31,'Spot Check'!$I:$I,"Match")/$D31,"")</f>
        <v/>
      </c>
      <c r="G31" s="5" t="str">
        <f aca="false">IF($D31=0,"Not yet reviewed",IF($E31&lt;$D$1,"Yes — below threshold","No"))</f>
        <v>Not yet reviewed</v>
      </c>
    </row>
    <row r="32" customFormat="false" ht="23.85" hidden="false" customHeight="false" outlineLevel="0" collapsed="false">
      <c r="A32" s="6" t="s">
        <v>59</v>
      </c>
      <c r="B32" s="6" t="s">
        <v>66</v>
      </c>
      <c r="C32" s="5" t="n">
        <f aca="false">COUNTIFS('Spot Check'!$C:$C,$A32,'Spot Check'!$D:$D,$B32)</f>
        <v>20</v>
      </c>
      <c r="D32" s="5" t="n">
        <f aca="false">COUNTIFS('Spot Check'!$C:$C,$A32,'Spot Check'!$D:$D,$B32,'Spot Check'!$G:$G,"&lt;&gt;")</f>
        <v>0</v>
      </c>
      <c r="E32" s="9" t="str">
        <f aca="false">IFERROR(COUNTIFS('Spot Check'!$C:$C,$A32,'Spot Check'!$D:$D,$B32,'Spot Check'!$H:$H,"Match")/$D32,"")</f>
        <v/>
      </c>
      <c r="F32" s="9" t="str">
        <f aca="false">IFERROR(COUNTIFS('Spot Check'!$C:$C,$A32,'Spot Check'!$D:$D,$B32,'Spot Check'!$I:$I,"Match")/$D32,"")</f>
        <v/>
      </c>
      <c r="G32" s="5" t="str">
        <f aca="false">IF($D32=0,"Not yet reviewed",IF($E32&lt;$D$1,"Yes — below threshold","No"))</f>
        <v>Not yet reviewed</v>
      </c>
    </row>
    <row r="33" customFormat="false" ht="15" hidden="false" customHeight="false" outlineLevel="0" collapsed="false">
      <c r="A33" s="6" t="s">
        <v>67</v>
      </c>
      <c r="B33" s="6" t="s">
        <v>68</v>
      </c>
      <c r="C33" s="5" t="n">
        <f aca="false">COUNTIFS('Spot Check'!$C:$C,$A33,'Spot Check'!$D:$D,$B33)</f>
        <v>19</v>
      </c>
      <c r="D33" s="5" t="n">
        <f aca="false">COUNTIFS('Spot Check'!$C:$C,$A33,'Spot Check'!$D:$D,$B33,'Spot Check'!$G:$G,"&lt;&gt;")</f>
        <v>0</v>
      </c>
      <c r="E33" s="9" t="str">
        <f aca="false">IFERROR(COUNTIFS('Spot Check'!$C:$C,$A33,'Spot Check'!$D:$D,$B33,'Spot Check'!$H:$H,"Match")/$D33,"")</f>
        <v/>
      </c>
      <c r="F33" s="9" t="str">
        <f aca="false">IFERROR(COUNTIFS('Spot Check'!$C:$C,$A33,'Spot Check'!$D:$D,$B33,'Spot Check'!$I:$I,"Match")/$D33,"")</f>
        <v/>
      </c>
      <c r="G33" s="5" t="str">
        <f aca="false">IF($D33=0,"Not yet reviewed",IF($E33&lt;$D$1,"Yes — below threshold","No"))</f>
        <v>Not yet reviewed</v>
      </c>
    </row>
    <row r="34" customFormat="false" ht="15" hidden="false" customHeight="false" outlineLevel="0" collapsed="false">
      <c r="A34" s="6" t="s">
        <v>70</v>
      </c>
      <c r="B34" s="6" t="s">
        <v>71</v>
      </c>
      <c r="C34" s="5" t="n">
        <f aca="false">COUNTIFS('Spot Check'!$C:$C,$A34,'Spot Check'!$D:$D,$B34)</f>
        <v>29</v>
      </c>
      <c r="D34" s="5" t="n">
        <f aca="false">COUNTIFS('Spot Check'!$C:$C,$A34,'Spot Check'!$D:$D,$B34,'Spot Check'!$G:$G,"&lt;&gt;")</f>
        <v>0</v>
      </c>
      <c r="E34" s="9" t="str">
        <f aca="false">IFERROR(COUNTIFS('Spot Check'!$C:$C,$A34,'Spot Check'!$D:$D,$B34,'Spot Check'!$H:$H,"Match")/$D34,"")</f>
        <v/>
      </c>
      <c r="F34" s="9" t="str">
        <f aca="false">IFERROR(COUNTIFS('Spot Check'!$C:$C,$A34,'Spot Check'!$D:$D,$B34,'Spot Check'!$I:$I,"Match")/$D34,"")</f>
        <v/>
      </c>
      <c r="G34" s="5" t="str">
        <f aca="false">IF($D34=0,"Not yet reviewed",IF($E34&lt;$D$1,"Yes — below threshold","No"))</f>
        <v>Not yet reviewed</v>
      </c>
    </row>
    <row r="35" customFormat="false" ht="15" hidden="false" customHeight="false" outlineLevel="0" collapsed="false">
      <c r="A35" s="6" t="s">
        <v>70</v>
      </c>
      <c r="B35" s="6" t="s">
        <v>73</v>
      </c>
      <c r="C35" s="5" t="n">
        <f aca="false">COUNTIFS('Spot Check'!$C:$C,$A35,'Spot Check'!$D:$D,$B35)</f>
        <v>27</v>
      </c>
      <c r="D35" s="5" t="n">
        <f aca="false">COUNTIFS('Spot Check'!$C:$C,$A35,'Spot Check'!$D:$D,$B35,'Spot Check'!$G:$G,"&lt;&gt;")</f>
        <v>0</v>
      </c>
      <c r="E35" s="9" t="str">
        <f aca="false">IFERROR(COUNTIFS('Spot Check'!$C:$C,$A35,'Spot Check'!$D:$D,$B35,'Spot Check'!$H:$H,"Match")/$D35,"")</f>
        <v/>
      </c>
      <c r="F35" s="9" t="str">
        <f aca="false">IFERROR(COUNTIFS('Spot Check'!$C:$C,$A35,'Spot Check'!$D:$D,$B35,'Spot Check'!$I:$I,"Match")/$D35,"")</f>
        <v/>
      </c>
      <c r="G35" s="5" t="str">
        <f aca="false">IF($D35=0,"Not yet reviewed",IF($E35&lt;$D$1,"Yes — below threshold","No"))</f>
        <v>Not yet reviewed</v>
      </c>
    </row>
    <row r="36" customFormat="false" ht="15" hidden="false" customHeight="false" outlineLevel="0" collapsed="false">
      <c r="A36" s="6" t="s">
        <v>70</v>
      </c>
      <c r="B36" s="6" t="s">
        <v>75</v>
      </c>
      <c r="C36" s="5" t="n">
        <f aca="false">COUNTIFS('Spot Check'!$C:$C,$A36,'Spot Check'!$D:$D,$B36)</f>
        <v>23</v>
      </c>
      <c r="D36" s="5" t="n">
        <f aca="false">COUNTIFS('Spot Check'!$C:$C,$A36,'Spot Check'!$D:$D,$B36,'Spot Check'!$G:$G,"&lt;&gt;")</f>
        <v>0</v>
      </c>
      <c r="E36" s="9" t="str">
        <f aca="false">IFERROR(COUNTIFS('Spot Check'!$C:$C,$A36,'Spot Check'!$D:$D,$B36,'Spot Check'!$H:$H,"Match")/$D36,"")</f>
        <v/>
      </c>
      <c r="F36" s="9" t="str">
        <f aca="false">IFERROR(COUNTIFS('Spot Check'!$C:$C,$A36,'Spot Check'!$D:$D,$B36,'Spot Check'!$I:$I,"Match")/$D36,"")</f>
        <v/>
      </c>
      <c r="G36" s="5" t="str">
        <f aca="false">IF($D36=0,"Not yet reviewed",IF($E36&lt;$D$1,"Yes — below threshold","No"))</f>
        <v>Not yet reviewed</v>
      </c>
    </row>
    <row r="37" customFormat="false" ht="15" hidden="false" customHeight="false" outlineLevel="0" collapsed="false">
      <c r="A37" s="6" t="s">
        <v>70</v>
      </c>
      <c r="B37" s="6" t="s">
        <v>77</v>
      </c>
      <c r="C37" s="5" t="n">
        <f aca="false">COUNTIFS('Spot Check'!$C:$C,$A37,'Spot Check'!$D:$D,$B37)</f>
        <v>24</v>
      </c>
      <c r="D37" s="5" t="n">
        <f aca="false">COUNTIFS('Spot Check'!$C:$C,$A37,'Spot Check'!$D:$D,$B37,'Spot Check'!$G:$G,"&lt;&gt;")</f>
        <v>0</v>
      </c>
      <c r="E37" s="9" t="str">
        <f aca="false">IFERROR(COUNTIFS('Spot Check'!$C:$C,$A37,'Spot Check'!$D:$D,$B37,'Spot Check'!$H:$H,"Match")/$D37,"")</f>
        <v/>
      </c>
      <c r="F37" s="9" t="str">
        <f aca="false">IFERROR(COUNTIFS('Spot Check'!$C:$C,$A37,'Spot Check'!$D:$D,$B37,'Spot Check'!$I:$I,"Match")/$D37,"")</f>
        <v/>
      </c>
      <c r="G37" s="5" t="str">
        <f aca="false">IF($D37=0,"Not yet reviewed",IF($E37&lt;$D$1,"Yes — below threshold","No"))</f>
        <v>Not yet reviewed</v>
      </c>
    </row>
    <row r="38" customFormat="false" ht="15" hidden="false" customHeight="false" outlineLevel="0" collapsed="false">
      <c r="A38" s="6" t="s">
        <v>70</v>
      </c>
      <c r="B38" s="6" t="s">
        <v>80</v>
      </c>
      <c r="C38" s="5" t="n">
        <f aca="false">COUNTIFS('Spot Check'!$C:$C,$A38,'Spot Check'!$D:$D,$B38)</f>
        <v>29</v>
      </c>
      <c r="D38" s="5" t="n">
        <f aca="false">COUNTIFS('Spot Check'!$C:$C,$A38,'Spot Check'!$D:$D,$B38,'Spot Check'!$G:$G,"&lt;&gt;")</f>
        <v>0</v>
      </c>
      <c r="E38" s="9" t="str">
        <f aca="false">IFERROR(COUNTIFS('Spot Check'!$C:$C,$A38,'Spot Check'!$D:$D,$B38,'Spot Check'!$H:$H,"Match")/$D38,"")</f>
        <v/>
      </c>
      <c r="F38" s="9" t="str">
        <f aca="false">IFERROR(COUNTIFS('Spot Check'!$C:$C,$A38,'Spot Check'!$D:$D,$B38,'Spot Check'!$I:$I,"Match")/$D38,"")</f>
        <v/>
      </c>
      <c r="G38" s="5" t="str">
        <f aca="false">IF($D38=0,"Not yet reviewed",IF($E38&lt;$D$1,"Yes — below threshold","No"))</f>
        <v>Not yet reviewed</v>
      </c>
    </row>
    <row r="39" customFormat="false" ht="15" hidden="false" customHeight="false" outlineLevel="0" collapsed="false">
      <c r="A39" s="6" t="s">
        <v>70</v>
      </c>
      <c r="B39" s="6" t="s">
        <v>82</v>
      </c>
      <c r="C39" s="5" t="n">
        <f aca="false">COUNTIFS('Spot Check'!$C:$C,$A39,'Spot Check'!$D:$D,$B39)</f>
        <v>25</v>
      </c>
      <c r="D39" s="5" t="n">
        <f aca="false">COUNTIFS('Spot Check'!$C:$C,$A39,'Spot Check'!$D:$D,$B39,'Spot Check'!$G:$G,"&lt;&gt;")</f>
        <v>0</v>
      </c>
      <c r="E39" s="9" t="str">
        <f aca="false">IFERROR(COUNTIFS('Spot Check'!$C:$C,$A39,'Spot Check'!$D:$D,$B39,'Spot Check'!$H:$H,"Match")/$D39,"")</f>
        <v/>
      </c>
      <c r="F39" s="9" t="str">
        <f aca="false">IFERROR(COUNTIFS('Spot Check'!$C:$C,$A39,'Spot Check'!$D:$D,$B39,'Spot Check'!$I:$I,"Match")/$D39,"")</f>
        <v/>
      </c>
      <c r="G39" s="5" t="str">
        <f aca="false">IF($D39=0,"Not yet reviewed",IF($E39&lt;$D$1,"Yes — below threshold","No"))</f>
        <v>Not yet reviewed</v>
      </c>
    </row>
    <row r="40" customFormat="false" ht="15" hidden="false" customHeight="false" outlineLevel="0" collapsed="false">
      <c r="A40" s="6" t="s">
        <v>70</v>
      </c>
      <c r="B40" s="6" t="s">
        <v>84</v>
      </c>
      <c r="C40" s="5" t="n">
        <f aca="false">COUNTIFS('Spot Check'!$C:$C,$A40,'Spot Check'!$D:$D,$B40)</f>
        <v>27</v>
      </c>
      <c r="D40" s="5" t="n">
        <f aca="false">COUNTIFS('Spot Check'!$C:$C,$A40,'Spot Check'!$D:$D,$B40,'Spot Check'!$G:$G,"&lt;&gt;")</f>
        <v>0</v>
      </c>
      <c r="E40" s="9" t="str">
        <f aca="false">IFERROR(COUNTIFS('Spot Check'!$C:$C,$A40,'Spot Check'!$D:$D,$B40,'Spot Check'!$H:$H,"Match")/$D40,"")</f>
        <v/>
      </c>
      <c r="F40" s="9" t="str">
        <f aca="false">IFERROR(COUNTIFS('Spot Check'!$C:$C,$A40,'Spot Check'!$D:$D,$B40,'Spot Check'!$I:$I,"Match")/$D40,"")</f>
        <v/>
      </c>
      <c r="G40" s="5" t="str">
        <f aca="false">IF($D40=0,"Not yet reviewed",IF($E40&lt;$D$1,"Yes — below threshold","No"))</f>
        <v>Not yet reviewed</v>
      </c>
    </row>
    <row r="41" customFormat="false" ht="15" hidden="false" customHeight="false" outlineLevel="0" collapsed="false">
      <c r="A41" s="6" t="s">
        <v>70</v>
      </c>
      <c r="B41" s="6" t="s">
        <v>86</v>
      </c>
      <c r="C41" s="5" t="n">
        <f aca="false">COUNTIFS('Spot Check'!$C:$C,$A41,'Spot Check'!$D:$D,$B41)</f>
        <v>25</v>
      </c>
      <c r="D41" s="5" t="n">
        <f aca="false">COUNTIFS('Spot Check'!$C:$C,$A41,'Spot Check'!$D:$D,$B41,'Spot Check'!$G:$G,"&lt;&gt;")</f>
        <v>0</v>
      </c>
      <c r="E41" s="9" t="str">
        <f aca="false">IFERROR(COUNTIFS('Spot Check'!$C:$C,$A41,'Spot Check'!$D:$D,$B41,'Spot Check'!$H:$H,"Match")/$D41,"")</f>
        <v/>
      </c>
      <c r="F41" s="9" t="str">
        <f aca="false">IFERROR(COUNTIFS('Spot Check'!$C:$C,$A41,'Spot Check'!$D:$D,$B41,'Spot Check'!$I:$I,"Match")/$D41,"")</f>
        <v/>
      </c>
      <c r="G41" s="5" t="str">
        <f aca="false">IF($D41=0,"Not yet reviewed",IF($E41&lt;$D$1,"Yes — below threshold","No"))</f>
        <v>Not yet reviewed</v>
      </c>
    </row>
  </sheetData>
  <autoFilter ref="A3:G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2026-09-20T23:07:39Z</dcterms:created>
  <dc:creator>openpyxl</dc:creator>
  <dc:description/>
  <dc:language>en-US</dc:language>
  <cp:lastModifiedBy/>
  <dcterms:modified xsi:type="dcterms:W3CDTF">2026-09-20T23:07:39Z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